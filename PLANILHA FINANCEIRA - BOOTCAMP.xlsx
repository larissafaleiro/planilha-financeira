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caixa-my.sharepoint.com/personal/c121074_corp_caixa_gov_br/Documents/Área de Trabalho/EM TRATAMENTO/"/>
    </mc:Choice>
  </mc:AlternateContent>
  <xr:revisionPtr revIDLastSave="0" documentId="8_{C697C081-8CB0-4C9D-B2B2-8D4537DC6961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Data" sheetId="1" state="hidden" r:id="rId1"/>
    <sheet name="Controler" sheetId="2" state="hidden" r:id="rId2"/>
    <sheet name="Caixinha" sheetId="4" state="hidden" r:id="rId3"/>
    <sheet name="Dashboard" sheetId="3" r:id="rId4"/>
  </sheets>
  <definedNames>
    <definedName name="_xlnm._FilterDatabase" localSheetId="0" hidden="1">Data!$A$1:$F$104</definedName>
    <definedName name="SegmentaçãodeDados_Mês">#N/A</definedName>
  </definedNames>
  <calcPr calcId="191029"/>
  <pivotCaches>
    <pivotCache cacheId="2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C8" i="4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</calcChain>
</file>

<file path=xl/sharedStrings.xml><?xml version="1.0" encoding="utf-8"?>
<sst xmlns="http://schemas.openxmlformats.org/spreadsheetml/2006/main" count="338" uniqueCount="64">
  <si>
    <t>Data</t>
  </si>
  <si>
    <t>Tipo</t>
  </si>
  <si>
    <t>Categoria</t>
  </si>
  <si>
    <t>Descrição</t>
  </si>
  <si>
    <t>Valor</t>
  </si>
  <si>
    <t>Débito</t>
  </si>
  <si>
    <t>Manutenção da casa</t>
  </si>
  <si>
    <t>Reparos hidráulicos</t>
  </si>
  <si>
    <t>Alimentação</t>
  </si>
  <si>
    <t>Supermercado</t>
  </si>
  <si>
    <t>Transporte</t>
  </si>
  <si>
    <t>Gasolina</t>
  </si>
  <si>
    <t>Diversão</t>
  </si>
  <si>
    <t>Cinema</t>
  </si>
  <si>
    <t>Restaurante</t>
  </si>
  <si>
    <t>Saúde</t>
  </si>
  <si>
    <t>Plano de Saúde</t>
  </si>
  <si>
    <t>Educação</t>
  </si>
  <si>
    <t>Material escolar</t>
  </si>
  <si>
    <t>Mercado</t>
  </si>
  <si>
    <t>Transporte público</t>
  </si>
  <si>
    <t>Jantar fora</t>
  </si>
  <si>
    <t>Crédito</t>
  </si>
  <si>
    <t>Salário</t>
  </si>
  <si>
    <t>Salário mensal</t>
  </si>
  <si>
    <t>Venda de produto</t>
  </si>
  <si>
    <t>Prestação de serviço</t>
  </si>
  <si>
    <t>Reparos elétricos</t>
  </si>
  <si>
    <t>Gympass</t>
  </si>
  <si>
    <t>Manutenção de veículo</t>
  </si>
  <si>
    <t>Ingressos para Show</t>
  </si>
  <si>
    <t>Curso de inglês</t>
  </si>
  <si>
    <t>Jantar em restaurante</t>
  </si>
  <si>
    <t>Viagem</t>
  </si>
  <si>
    <t>Bolo de Aniversário</t>
  </si>
  <si>
    <t>Haburguer</t>
  </si>
  <si>
    <t>Reparos de encanamento</t>
  </si>
  <si>
    <t>Fisioterapia</t>
  </si>
  <si>
    <t>Consultoria médica</t>
  </si>
  <si>
    <t>Exame médico</t>
  </si>
  <si>
    <t>Reparos diversos</t>
  </si>
  <si>
    <t>venda de semi-joias</t>
  </si>
  <si>
    <t>Consultoria de marketing</t>
  </si>
  <si>
    <t>Aluguel</t>
  </si>
  <si>
    <t>Conta de Água</t>
  </si>
  <si>
    <t>Conta de Luz</t>
  </si>
  <si>
    <t>Internet / Celular</t>
  </si>
  <si>
    <t>Gás</t>
  </si>
  <si>
    <t>Troca de lampadas</t>
  </si>
  <si>
    <t>Méveis para a sala</t>
  </si>
  <si>
    <t>Rótulos de Linha</t>
  </si>
  <si>
    <t>Total Geral</t>
  </si>
  <si>
    <t>Soma de Valor</t>
  </si>
  <si>
    <t>Festa</t>
  </si>
  <si>
    <t>Netflix</t>
  </si>
  <si>
    <t>Diarista</t>
  </si>
  <si>
    <t>Livros</t>
  </si>
  <si>
    <t>Taxa congresso</t>
  </si>
  <si>
    <t>Matrícula curso</t>
  </si>
  <si>
    <t>Mês</t>
  </si>
  <si>
    <t>Depósito</t>
  </si>
  <si>
    <t>Data de Lançamento</t>
  </si>
  <si>
    <t>Total Aplicado</t>
  </si>
  <si>
    <t>Meta de Aplicação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</si>
</sst>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d/m/yyyy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F0F9FA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0">
    <xf numFmtId="0" fontId="0" fillId="0" borderId="0" xfId="0" applyFont="1" applyAlignment="1"/>
    <xf numFmtId="0" fontId="1" fillId="0" borderId="0" xfId="0" applyFont="1" applyAlignment="1">
      <alignment horizontal="center"/>
    </xf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44" fontId="2" fillId="0" borderId="0" xfId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2" borderId="0" xfId="0" applyFont="1" applyFill="1" applyAlignment="1"/>
    <xf numFmtId="0" fontId="0" fillId="3" borderId="0" xfId="0" applyFont="1" applyFill="1" applyAlignment="1"/>
    <xf numFmtId="44" fontId="0" fillId="0" borderId="0" xfId="1" applyFont="1" applyAlignment="1"/>
    <xf numFmtId="44" fontId="0" fillId="0" borderId="0" xfId="0" applyNumberFormat="1" applyFont="1" applyAlignment="1"/>
    <xf numFmtId="0" fontId="4" fillId="0" borderId="0" xfId="0" applyFont="1" applyAlignment="1">
      <alignment horizontal="center"/>
    </xf>
    <xf numFmtId="0" fontId="2" fillId="0" borderId="0" xfId="0" applyNumberFormat="1" applyFont="1" applyAlignment="1"/>
    <xf numFmtId="0" fontId="0" fillId="4" borderId="0" xfId="0" applyFont="1" applyFill="1" applyAlignment="1"/>
    <xf numFmtId="0" fontId="5" fillId="0" borderId="0" xfId="0" applyFont="1" applyAlignment="1"/>
    <xf numFmtId="14" fontId="0" fillId="0" borderId="0" xfId="0" applyNumberFormat="1" applyFont="1" applyAlignment="1"/>
    <xf numFmtId="0" fontId="5" fillId="5" borderId="0" xfId="0" applyFont="1" applyFill="1" applyAlignment="1"/>
    <xf numFmtId="44" fontId="0" fillId="6" borderId="0" xfId="0" applyNumberFormat="1" applyFont="1" applyFill="1" applyAlignment="1"/>
    <xf numFmtId="44" fontId="0" fillId="6" borderId="0" xfId="1" applyFont="1" applyFill="1" applyAlignment="1"/>
  </cellXfs>
  <cellStyles count="2">
    <cellStyle name="Moeda" xfId="1" builtinId="4"/>
    <cellStyle name="Normal" xfId="0" builtinId="0"/>
  </cellStyles>
  <dxfs count="18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0"/>
      </font>
      <fill>
        <patternFill>
          <bgColor rgb="FF00CCFF"/>
        </patternFill>
      </fill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/m/yyyy"/>
      <alignment horizontal="general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SlicerStyleLight6 2" pivot="0" table="0" count="10" xr9:uid="{956D0905-2E72-4D9B-957B-5B66B3D87747}">
      <tableStyleElement type="wholeTable" dxfId="7"/>
      <tableStyleElement type="headerRow" dxfId="6"/>
    </tableStyle>
  </tableStyles>
  <colors>
    <mruColors>
      <color rgb="FF006699"/>
      <color rgb="FF00CCFF"/>
      <color rgb="FF009999"/>
      <color rgb="FFF0F9FA"/>
      <color rgb="FFCCCCFF"/>
    </mruColors>
  </colors>
  <extLst>
    <ext xmlns:x14="http://schemas.microsoft.com/office/spreadsheetml/2009/9/main" uri="{46F421CA-312F-682f-3DD2-61675219B42D}">
      <x14:dxfs count="8">
        <dxf>
          <font>
            <color theme="0"/>
          </font>
          <fill>
            <patternFill patternType="solid">
              <fgColor auto="1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theme="9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theme="9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theme="9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 tint="0.79995117038483843"/>
              <bgColor theme="9" tint="0.59996337778862885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 tint="0.59999389629810485"/>
              <bgColor theme="9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9" tint="0.79998168889431442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9" tint="0.3999450666829432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7.407407407407407E-2"/>
          <c:w val="0.86666666666666659"/>
          <c:h val="0.85406641878098566"/>
        </c:manualLayout>
      </c:layout>
      <c:barChart>
        <c:barDir val="col"/>
        <c:grouping val="stacked"/>
        <c:varyColors val="0"/>
        <c:ser>
          <c:idx val="0"/>
          <c:order val="0"/>
          <c:spPr>
            <a:gradFill>
              <a:gsLst>
                <a:gs pos="0">
                  <a:srgbClr val="00CCFF"/>
                </a:gs>
                <a:gs pos="100000">
                  <a:schemeClr val="accent1">
                    <a:lumMod val="45000"/>
                    <a:lumOff val="5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Caixinha!$D$3</c:f>
              <c:numCache>
                <c:formatCode>_("R$"* #,##0.00_);_("R$"* \(#,##0.00\);_("R$"* "-"??_);_(@_)</c:formatCode>
                <c:ptCount val="1"/>
                <c:pt idx="0">
                  <c:v>4554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8-4565-B7B8-2853FA282B1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318-4565-B7B8-2853FA282B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Caixinha!$D$4</c:f>
              <c:numCache>
                <c:formatCode>_("R$"* #,##0.00_);_("R$"* \(#,##0.00\);_("R$"* "-"??_);_(@_)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18-4565-B7B8-2853FA282B1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45071743"/>
        <c:axId val="2122991727"/>
      </c:barChart>
      <c:catAx>
        <c:axId val="24507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2991727"/>
        <c:crosses val="autoZero"/>
        <c:auto val="1"/>
        <c:lblAlgn val="ctr"/>
        <c:lblOffset val="100"/>
        <c:noMultiLvlLbl val="0"/>
      </c:catAx>
      <c:valAx>
        <c:axId val="2122991727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4507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FINANCEIRA - BOOTCAMP.xlsx]Controler!DESPESAS</c:name>
    <c:fmtId val="4"/>
  </c:pivotSource>
  <c:chart>
    <c:autoTitleDeleted val="1"/>
    <c:pivotFmts>
      <c:pivotFmt>
        <c:idx val="0"/>
        <c:spPr>
          <a:gradFill rotWithShape="1">
            <a:gsLst>
              <a:gs pos="0">
                <a:srgbClr val="00CCFF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rgbClr val="00CCFF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rgbClr val="00CCFF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Controler!$C$3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rgbClr val="00CC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Controler!$B$4:$B$10</c:f>
              <c:strCache>
                <c:ptCount val="6"/>
                <c:pt idx="0">
                  <c:v>Alimentação</c:v>
                </c:pt>
                <c:pt idx="1">
                  <c:v>Diversão</c:v>
                </c:pt>
                <c:pt idx="2">
                  <c:v>Educação</c:v>
                </c:pt>
                <c:pt idx="3">
                  <c:v>Manutenção da casa</c:v>
                </c:pt>
                <c:pt idx="4">
                  <c:v>Saúde</c:v>
                </c:pt>
                <c:pt idx="5">
                  <c:v>Transporte</c:v>
                </c:pt>
              </c:strCache>
            </c:strRef>
          </c:cat>
          <c:val>
            <c:numRef>
              <c:f>Controler!$C$4:$C$10</c:f>
              <c:numCache>
                <c:formatCode>_("R$"* #,##0.00_);_("R$"* \(#,##0.00\);_("R$"* "-"??_);_(@_)</c:formatCode>
                <c:ptCount val="6"/>
                <c:pt idx="0">
                  <c:v>4870</c:v>
                </c:pt>
                <c:pt idx="1">
                  <c:v>4010</c:v>
                </c:pt>
                <c:pt idx="2">
                  <c:v>2190</c:v>
                </c:pt>
                <c:pt idx="3">
                  <c:v>12535</c:v>
                </c:pt>
                <c:pt idx="4">
                  <c:v>2760</c:v>
                </c:pt>
                <c:pt idx="5">
                  <c:v>3080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E-4E1A-9A44-946CF13623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95763695"/>
        <c:axId val="1426230799"/>
      </c:barChart>
      <c:catAx>
        <c:axId val="199576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6230799"/>
        <c:crosses val="autoZero"/>
        <c:auto val="1"/>
        <c:lblAlgn val="ctr"/>
        <c:lblOffset val="100"/>
        <c:noMultiLvlLbl val="0"/>
      </c:catAx>
      <c:valAx>
        <c:axId val="142623079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9576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FINANCEIRA - BOOTCAMP.xlsx]Controler!RECEITAS</c:name>
    <c:fmtId val="2"/>
  </c:pivotSource>
  <c:chart>
    <c:autoTitleDeleted val="1"/>
    <c:pivotFmts>
      <c:pivotFmt>
        <c:idx val="0"/>
        <c:spPr>
          <a:gradFill>
            <a:gsLst>
              <a:gs pos="0">
                <a:srgbClr val="00CCFF"/>
              </a:gs>
              <a:gs pos="100000">
                <a:schemeClr val="accent1">
                  <a:lumMod val="45000"/>
                  <a:lumOff val="55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00CCFF"/>
              </a:gs>
              <a:gs pos="100000">
                <a:schemeClr val="accent1">
                  <a:lumMod val="45000"/>
                  <a:lumOff val="55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00CCFF"/>
              </a:gs>
              <a:gs pos="100000">
                <a:schemeClr val="accent1">
                  <a:lumMod val="45000"/>
                  <a:lumOff val="55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813210848643917E-2"/>
          <c:y val="0.18327488954286397"/>
          <c:w val="0.91207567804024492"/>
          <c:h val="0.627521507728200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Controler!$C$22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CCFF"/>
                </a:gs>
                <a:gs pos="100000">
                  <a:schemeClr val="accent1">
                    <a:lumMod val="45000"/>
                    <a:lumOff val="5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Controler!$B$23:$B$26</c:f>
              <c:strCache>
                <c:ptCount val="3"/>
                <c:pt idx="0">
                  <c:v>Prestação de serviço</c:v>
                </c:pt>
                <c:pt idx="1">
                  <c:v>Salário</c:v>
                </c:pt>
                <c:pt idx="2">
                  <c:v>Venda de produto</c:v>
                </c:pt>
              </c:strCache>
            </c:strRef>
          </c:cat>
          <c:val>
            <c:numRef>
              <c:f>Controler!$C$23:$C$26</c:f>
              <c:numCache>
                <c:formatCode>_("R$"* #,##0.00_);_("R$"* \(#,##0.00\);_("R$"* "-"??_);_(@_)</c:formatCode>
                <c:ptCount val="3"/>
                <c:pt idx="0">
                  <c:v>3000</c:v>
                </c:pt>
                <c:pt idx="1">
                  <c:v>30000</c:v>
                </c:pt>
                <c:pt idx="2">
                  <c:v>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8-4AB7-81F4-074892371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1520175"/>
        <c:axId val="2122996527"/>
      </c:barChart>
      <c:catAx>
        <c:axId val="169152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2996527"/>
        <c:crosses val="autoZero"/>
        <c:auto val="1"/>
        <c:lblAlgn val="ctr"/>
        <c:lblOffset val="100"/>
        <c:noMultiLvlLbl val="0"/>
      </c:catAx>
      <c:valAx>
        <c:axId val="2122996527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9152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37072628502789"/>
          <c:y val="5.4853500780503002E-2"/>
          <c:w val="0.66155800265878117"/>
          <c:h val="0.85406641878098566"/>
        </c:manualLayout>
      </c:layout>
      <c:barChart>
        <c:barDir val="col"/>
        <c:grouping val="stacked"/>
        <c:varyColors val="0"/>
        <c:ser>
          <c:idx val="0"/>
          <c:order val="0"/>
          <c:spPr>
            <a:gradFill>
              <a:gsLst>
                <a:gs pos="0">
                  <a:srgbClr val="00CCFF"/>
                </a:gs>
                <a:gs pos="100000">
                  <a:schemeClr val="accent1">
                    <a:lumMod val="45000"/>
                    <a:lumOff val="5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33675170769313"/>
                      <c:h val="0.171030207114685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D76-4E74-A66D-A19968DDBA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Caixinha!$D$3</c:f>
              <c:numCache>
                <c:formatCode>_("R$"* #,##0.00_);_("R$"* \(#,##0.00\);_("R$"* "-"??_);_(@_)</c:formatCode>
                <c:ptCount val="1"/>
                <c:pt idx="0">
                  <c:v>4554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6-4E74-A66D-A19968DDBAD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D76-4E74-A66D-A19968DDBADF}"/>
              </c:ext>
            </c:extLst>
          </c:dPt>
          <c:dLbls>
            <c:dLbl>
              <c:idx val="0"/>
              <c:layout>
                <c:manualLayout>
                  <c:x val="-9.1075174355020813E-3"/>
                  <c:y val="2.8423270239812667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712139412302561"/>
                      <c:h val="0.209618775730165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D76-4E74-A66D-A19968DDBA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Caixinha!$D$4</c:f>
              <c:numCache>
                <c:formatCode>_("R$"* #,##0.00_);_("R$"* \(#,##0.00\);_("R$"* "-"??_);_(@_)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76-4E74-A66D-A19968DDBAD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45071743"/>
        <c:axId val="2122991727"/>
      </c:barChart>
      <c:catAx>
        <c:axId val="245071743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22991727"/>
        <c:crosses val="autoZero"/>
        <c:auto val="1"/>
        <c:lblAlgn val="ctr"/>
        <c:lblOffset val="100"/>
        <c:noMultiLvlLbl val="0"/>
      </c:catAx>
      <c:valAx>
        <c:axId val="2122991727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450717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png"/><Relationship Id="rId3" Type="http://schemas.openxmlformats.org/officeDocument/2006/relationships/image" Target="../media/image2.svg"/><Relationship Id="rId7" Type="http://schemas.openxmlformats.org/officeDocument/2006/relationships/hyperlink" Target="#Data!A1"/><Relationship Id="rId12" Type="http://schemas.openxmlformats.org/officeDocument/2006/relationships/image" Target="../media/image9.svg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6" Type="http://schemas.openxmlformats.org/officeDocument/2006/relationships/image" Target="../media/image4.svg"/><Relationship Id="rId11" Type="http://schemas.openxmlformats.org/officeDocument/2006/relationships/image" Target="../media/image8.png"/><Relationship Id="rId5" Type="http://schemas.openxmlformats.org/officeDocument/2006/relationships/image" Target="../media/image3.png"/><Relationship Id="rId15" Type="http://schemas.openxmlformats.org/officeDocument/2006/relationships/chart" Target="../charts/chart4.xml"/><Relationship Id="rId10" Type="http://schemas.openxmlformats.org/officeDocument/2006/relationships/image" Target="../media/image7.png"/><Relationship Id="rId4" Type="http://schemas.openxmlformats.org/officeDocument/2006/relationships/chart" Target="../charts/chart3.xml"/><Relationship Id="rId9" Type="http://schemas.openxmlformats.org/officeDocument/2006/relationships/image" Target="../media/image6.svg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222250</xdr:colOff>
      <xdr:row>3</xdr:row>
      <xdr:rowOff>149225</xdr:rowOff>
    </xdr:from>
    <xdr:to>
      <xdr:col>12</xdr:col>
      <xdr:colOff>527050</xdr:colOff>
      <xdr:row>21</xdr:row>
      <xdr:rowOff>34925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9D8C11-D9DA-CDBD-E564-ABBE34237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270646</xdr:colOff>
      <xdr:row>23</xdr:row>
      <xdr:rowOff>50643</xdr:rowOff>
    </xdr:from>
    <xdr:to>
      <xdr:col>13</xdr:col>
      <xdr:colOff>308918</xdr:colOff>
      <xdr:row>38</xdr:row>
      <xdr:rowOff>17162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93172CBA-D082-9F24-85E4-C77BEBCCA11C}"/>
            </a:ext>
          </a:extLst>
        </xdr:cNvPr>
        <xdr:cNvGrpSpPr/>
      </xdr:nvGrpSpPr>
      <xdr:grpSpPr>
        <a:xfrm>
          <a:off x="1794646" y="3740327"/>
          <a:ext cx="7337430" cy="2372835"/>
          <a:chOff x="1651000" y="2863650"/>
          <a:chExt cx="4800600" cy="3130750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DD12BB75-6753-B033-C533-AAF6237B2EED}"/>
              </a:ext>
            </a:extLst>
          </xdr:cNvPr>
          <xdr:cNvGrpSpPr/>
        </xdr:nvGrpSpPr>
        <xdr:grpSpPr>
          <a:xfrm>
            <a:off x="1651000" y="2863650"/>
            <a:ext cx="4800600" cy="3130750"/>
            <a:chOff x="1866901" y="507800"/>
            <a:chExt cx="4648199" cy="3130750"/>
          </a:xfrm>
        </xdr:grpSpPr>
        <xdr:grpSp>
          <xdr:nvGrpSpPr>
            <xdr:cNvPr id="13" name="Agrupar 12">
              <a:extLst>
                <a:ext uri="{FF2B5EF4-FFF2-40B4-BE49-F238E27FC236}">
                  <a16:creationId xmlns:a16="http://schemas.microsoft.com/office/drawing/2014/main" id="{FB5B5B00-9FD6-49DE-2BA6-03D2C4387B1C}"/>
                </a:ext>
              </a:extLst>
            </xdr:cNvPr>
            <xdr:cNvGrpSpPr/>
          </xdr:nvGrpSpPr>
          <xdr:grpSpPr>
            <a:xfrm>
              <a:off x="1866901" y="520700"/>
              <a:ext cx="4648199" cy="3117850"/>
              <a:chOff x="2343151" y="120650"/>
              <a:chExt cx="4648199" cy="3117850"/>
            </a:xfrm>
          </xdr:grpSpPr>
          <xdr:sp macro="" textlink="">
            <xdr:nvSpPr>
              <xdr:cNvPr id="4" name="Retângulo: Cantos Arredondados 3">
                <a:extLst>
                  <a:ext uri="{FF2B5EF4-FFF2-40B4-BE49-F238E27FC236}">
                    <a16:creationId xmlns:a16="http://schemas.microsoft.com/office/drawing/2014/main" id="{94B15078-CDFD-E7E2-63E9-5AAB72C69EB8}"/>
                  </a:ext>
                </a:extLst>
              </xdr:cNvPr>
              <xdr:cNvSpPr/>
            </xdr:nvSpPr>
            <xdr:spPr>
              <a:xfrm>
                <a:off x="2362200" y="146050"/>
                <a:ext cx="4629150" cy="3092450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2" name="Gráfico 1">
                <a:extLst>
                  <a:ext uri="{FF2B5EF4-FFF2-40B4-BE49-F238E27FC236}">
                    <a16:creationId xmlns:a16="http://schemas.microsoft.com/office/drawing/2014/main" id="{0CBF3EB1-F645-4363-9A84-2D7DDA32D2AD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343151" y="831851"/>
              <a:ext cx="4641850" cy="23114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">
            <xdr:nvSpPr>
              <xdr:cNvPr id="7" name="Retângulo: Cantos Superiores Arredondados 6">
                <a:extLst>
                  <a:ext uri="{FF2B5EF4-FFF2-40B4-BE49-F238E27FC236}">
                    <a16:creationId xmlns:a16="http://schemas.microsoft.com/office/drawing/2014/main" id="{3A8E6474-038A-DFF5-780F-2016E72CB2D4}"/>
                  </a:ext>
                </a:extLst>
              </xdr:cNvPr>
              <xdr:cNvSpPr/>
            </xdr:nvSpPr>
            <xdr:spPr>
              <a:xfrm>
                <a:off x="2368548" y="120650"/>
                <a:ext cx="4610100" cy="527050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00CC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EEF5367E-2094-F9F1-28CF-8B2F461974AB}"/>
                </a:ext>
              </a:extLst>
            </xdr:cNvPr>
            <xdr:cNvSpPr txBox="1"/>
          </xdr:nvSpPr>
          <xdr:spPr>
            <a:xfrm>
              <a:off x="2806700" y="507800"/>
              <a:ext cx="2349500" cy="4762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pt-BR" sz="2000" b="1">
                  <a:solidFill>
                    <a:schemeClr val="bg1"/>
                  </a:solidFill>
                  <a:latin typeface="Segoe UI Variable Text Light" pitchFamily="2" charset="0"/>
                  <a:ea typeface="ADLaM Display" panose="020F0502020204030204" pitchFamily="2" charset="0"/>
                  <a:cs typeface="ADLaM Display" panose="020F0502020204030204" pitchFamily="2" charset="0"/>
                </a:rPr>
                <a:t>Despesas</a:t>
              </a:r>
            </a:p>
          </xdr:txBody>
        </xdr:sp>
      </xdr:grpSp>
      <xdr:pic>
        <xdr:nvPicPr>
          <xdr:cNvPr id="21" name="Gráfico 20" descr="Dinheiro voador estrutura de tópicos">
            <a:extLst>
              <a:ext uri="{FF2B5EF4-FFF2-40B4-BE49-F238E27FC236}">
                <a16:creationId xmlns:a16="http://schemas.microsoft.com/office/drawing/2014/main" id="{BA596721-F93C-DCCD-8E93-7EA76E5233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993900" y="2901950"/>
            <a:ext cx="533400" cy="5334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270646</xdr:colOff>
      <xdr:row>7</xdr:row>
      <xdr:rowOff>86325</xdr:rowOff>
    </xdr:from>
    <xdr:to>
      <xdr:col>7</xdr:col>
      <xdr:colOff>266012</xdr:colOff>
      <xdr:row>21</xdr:row>
      <xdr:rowOff>111726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57CCC51C-D561-29CA-E7BA-6FC65D74A32D}"/>
            </a:ext>
          </a:extLst>
        </xdr:cNvPr>
        <xdr:cNvGrpSpPr/>
      </xdr:nvGrpSpPr>
      <xdr:grpSpPr>
        <a:xfrm>
          <a:off x="1794646" y="1209272"/>
          <a:ext cx="3644945" cy="2271296"/>
          <a:chOff x="1651000" y="95250"/>
          <a:chExt cx="4820275" cy="2590800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01E41325-5353-469B-CD6D-862CDA425FCC}"/>
              </a:ext>
            </a:extLst>
          </xdr:cNvPr>
          <xdr:cNvGrpSpPr/>
        </xdr:nvGrpSpPr>
        <xdr:grpSpPr>
          <a:xfrm>
            <a:off x="1651000" y="162353"/>
            <a:ext cx="4820275" cy="2523697"/>
            <a:chOff x="1841500" y="3839003"/>
            <a:chExt cx="4667250" cy="2523697"/>
          </a:xfrm>
        </xdr:grpSpPr>
        <xdr:grpSp>
          <xdr:nvGrpSpPr>
            <xdr:cNvPr id="10" name="Agrupar 9">
              <a:extLst>
                <a:ext uri="{FF2B5EF4-FFF2-40B4-BE49-F238E27FC236}">
                  <a16:creationId xmlns:a16="http://schemas.microsoft.com/office/drawing/2014/main" id="{0A416785-CBFE-720A-902A-3665074B6534}"/>
                </a:ext>
              </a:extLst>
            </xdr:cNvPr>
            <xdr:cNvGrpSpPr/>
          </xdr:nvGrpSpPr>
          <xdr:grpSpPr>
            <a:xfrm>
              <a:off x="1841500" y="3839003"/>
              <a:ext cx="4667250" cy="2523697"/>
              <a:chOff x="2336800" y="3307690"/>
              <a:chExt cx="4667250" cy="3220110"/>
            </a:xfrm>
          </xdr:grpSpPr>
          <xdr:sp macro="" textlink="">
            <xdr:nvSpPr>
              <xdr:cNvPr id="5" name="Retângulo: Cantos Arredondados 4">
                <a:extLst>
                  <a:ext uri="{FF2B5EF4-FFF2-40B4-BE49-F238E27FC236}">
                    <a16:creationId xmlns:a16="http://schemas.microsoft.com/office/drawing/2014/main" id="{49DEEF53-C496-4FB8-B548-3F8EC3D5B5B6}"/>
                  </a:ext>
                </a:extLst>
              </xdr:cNvPr>
              <xdr:cNvSpPr/>
            </xdr:nvSpPr>
            <xdr:spPr>
              <a:xfrm>
                <a:off x="2336800" y="3327400"/>
                <a:ext cx="4667250" cy="3200400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3" name="Gráfico 2">
                <a:extLst>
                  <a:ext uri="{FF2B5EF4-FFF2-40B4-BE49-F238E27FC236}">
                    <a16:creationId xmlns:a16="http://schemas.microsoft.com/office/drawing/2014/main" id="{6717DD76-7411-4529-A28B-473489DE2423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362200" y="3727450"/>
              <a:ext cx="4572000" cy="27432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  <xdr:sp macro="" textlink="">
            <xdr:nvSpPr>
              <xdr:cNvPr id="9" name="Retângulo: Cantos Superiores Arredondados 8">
                <a:extLst>
                  <a:ext uri="{FF2B5EF4-FFF2-40B4-BE49-F238E27FC236}">
                    <a16:creationId xmlns:a16="http://schemas.microsoft.com/office/drawing/2014/main" id="{F562E38A-4E67-4A22-9EF6-B081DC21717A}"/>
                  </a:ext>
                </a:extLst>
              </xdr:cNvPr>
              <xdr:cNvSpPr/>
            </xdr:nvSpPr>
            <xdr:spPr>
              <a:xfrm>
                <a:off x="2343150" y="3307690"/>
                <a:ext cx="4654551" cy="589637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00CC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9F469067-1C5C-4260-B986-F446D7C4346E}"/>
                </a:ext>
              </a:extLst>
            </xdr:cNvPr>
            <xdr:cNvSpPr txBox="1"/>
          </xdr:nvSpPr>
          <xdr:spPr>
            <a:xfrm>
              <a:off x="2927350" y="3867150"/>
              <a:ext cx="2349500" cy="457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pt-BR" sz="2000" b="1">
                  <a:solidFill>
                    <a:schemeClr val="bg1"/>
                  </a:solidFill>
                  <a:latin typeface="Segoe UI Variable Text Light" pitchFamily="2" charset="0"/>
                  <a:ea typeface="ADLaM Display" panose="020F0502020204030204" pitchFamily="2" charset="0"/>
                  <a:cs typeface="ADLaM Display" panose="020F0502020204030204" pitchFamily="2" charset="0"/>
                </a:rPr>
                <a:t>Receitas</a:t>
              </a:r>
            </a:p>
          </xdr:txBody>
        </xdr:sp>
      </xdr:grpSp>
      <xdr:pic>
        <xdr:nvPicPr>
          <xdr:cNvPr id="25" name="Gráfico 24" descr="Moedas estrutura de tópicos">
            <a:extLst>
              <a:ext uri="{FF2B5EF4-FFF2-40B4-BE49-F238E27FC236}">
                <a16:creationId xmlns:a16="http://schemas.microsoft.com/office/drawing/2014/main" id="{C428EE39-451A-AE65-7746-D71F12CF16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000250" y="95250"/>
            <a:ext cx="615950" cy="61595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17162</xdr:colOff>
      <xdr:row>8</xdr:row>
      <xdr:rowOff>12015</xdr:rowOff>
    </xdr:from>
    <xdr:to>
      <xdr:col>0</xdr:col>
      <xdr:colOff>1515762</xdr:colOff>
      <xdr:row>15</xdr:row>
      <xdr:rowOff>18365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Mês">
              <a:extLst>
                <a:ext uri="{FF2B5EF4-FFF2-40B4-BE49-F238E27FC236}">
                  <a16:creationId xmlns:a16="http://schemas.microsoft.com/office/drawing/2014/main" id="{0D4BB3ED-C8A1-4772-A208-9FD88B740F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62" y="1295383"/>
              <a:ext cx="1498600" cy="11292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270646</xdr:colOff>
      <xdr:row>0</xdr:row>
      <xdr:rowOff>102972</xdr:rowOff>
    </xdr:from>
    <xdr:to>
      <xdr:col>15</xdr:col>
      <xdr:colOff>193418</xdr:colOff>
      <xdr:row>8</xdr:row>
      <xdr:rowOff>77232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99D6C4E8-A95C-881F-CC80-2DBC8A4E59BA}"/>
            </a:ext>
          </a:extLst>
        </xdr:cNvPr>
        <xdr:cNvGrpSpPr/>
      </xdr:nvGrpSpPr>
      <xdr:grpSpPr>
        <a:xfrm>
          <a:off x="1794646" y="102972"/>
          <a:ext cx="8438456" cy="1257628"/>
          <a:chOff x="2085201" y="60065"/>
          <a:chExt cx="7293919" cy="815204"/>
        </a:xfrm>
      </xdr:grpSpPr>
      <xdr:grpSp>
        <xdr:nvGrpSpPr>
          <xdr:cNvPr id="41" name="Agrupar 40">
            <a:extLst>
              <a:ext uri="{FF2B5EF4-FFF2-40B4-BE49-F238E27FC236}">
                <a16:creationId xmlns:a16="http://schemas.microsoft.com/office/drawing/2014/main" id="{E3E6BCFF-5FD0-F10C-9DA3-C7B93A087B74}"/>
              </a:ext>
            </a:extLst>
          </xdr:cNvPr>
          <xdr:cNvGrpSpPr/>
        </xdr:nvGrpSpPr>
        <xdr:grpSpPr>
          <a:xfrm>
            <a:off x="2085201" y="60065"/>
            <a:ext cx="7293919" cy="643580"/>
            <a:chOff x="2076621" y="17161"/>
            <a:chExt cx="7293919" cy="643580"/>
          </a:xfrm>
        </xdr:grpSpPr>
        <xdr:sp macro="" textlink="">
          <xdr:nvSpPr>
            <xdr:cNvPr id="31" name="Retângulo: Cantos Arredondados 30">
              <a:extLst>
                <a:ext uri="{FF2B5EF4-FFF2-40B4-BE49-F238E27FC236}">
                  <a16:creationId xmlns:a16="http://schemas.microsoft.com/office/drawing/2014/main" id="{6847EC04-730B-490B-86C3-6BC9D98885A1}"/>
                </a:ext>
              </a:extLst>
            </xdr:cNvPr>
            <xdr:cNvSpPr/>
          </xdr:nvSpPr>
          <xdr:spPr>
            <a:xfrm>
              <a:off x="2076621" y="17161"/>
              <a:ext cx="7293919" cy="64358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2" name="Retângulo: Cantos Arredondados 31">
              <a:extLst>
                <a:ext uri="{FF2B5EF4-FFF2-40B4-BE49-F238E27FC236}">
                  <a16:creationId xmlns:a16="http://schemas.microsoft.com/office/drawing/2014/main" id="{61A2240A-044D-4F5E-8259-FF0091BE1B78}"/>
                </a:ext>
              </a:extLst>
            </xdr:cNvPr>
            <xdr:cNvSpPr/>
          </xdr:nvSpPr>
          <xdr:spPr>
            <a:xfrm>
              <a:off x="2261879" y="95025"/>
              <a:ext cx="506283" cy="489122"/>
            </a:xfrm>
            <a:prstGeom prst="roundRect">
              <a:avLst/>
            </a:prstGeom>
            <a:solidFill>
              <a:srgbClr val="00CC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DA29ED47-13B2-E23E-CB3F-B2A2C87BFC17}"/>
              </a:ext>
            </a:extLst>
          </xdr:cNvPr>
          <xdr:cNvSpPr txBox="1"/>
        </xdr:nvSpPr>
        <xdr:spPr>
          <a:xfrm>
            <a:off x="2986217" y="154459"/>
            <a:ext cx="2763108" cy="317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800" b="1">
                <a:latin typeface="Segoe UI Variable Text Light" pitchFamily="2" charset="0"/>
              </a:rPr>
              <a:t>Hello,</a:t>
            </a:r>
            <a:r>
              <a:rPr lang="pt-BR" sz="1800" b="1" baseline="0">
                <a:latin typeface="Segoe UI Variable Text Light" pitchFamily="2" charset="0"/>
              </a:rPr>
              <a:t> Larissa!</a:t>
            </a:r>
            <a:endParaRPr lang="pt-BR" sz="1800" b="1">
              <a:latin typeface="Segoe UI Variable Text Light" pitchFamily="2" charset="0"/>
            </a:endParaRPr>
          </a:p>
        </xdr:txBody>
      </xdr:sp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F63F849D-2FED-4E74-861A-BD5B2915DA60}"/>
              </a:ext>
            </a:extLst>
          </xdr:cNvPr>
          <xdr:cNvSpPr txBox="1"/>
        </xdr:nvSpPr>
        <xdr:spPr>
          <a:xfrm>
            <a:off x="2986217" y="474190"/>
            <a:ext cx="3389527" cy="4010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 b="1">
                <a:solidFill>
                  <a:schemeClr val="bg2">
                    <a:lumMod val="75000"/>
                  </a:schemeClr>
                </a:solidFill>
                <a:latin typeface="Segoe UI Variable Text Light" pitchFamily="2" charset="0"/>
              </a:rPr>
              <a:t>Acompanhamento</a:t>
            </a:r>
            <a:r>
              <a:rPr lang="pt-BR" sz="1000" b="1" baseline="0">
                <a:solidFill>
                  <a:schemeClr val="bg2">
                    <a:lumMod val="75000"/>
                  </a:schemeClr>
                </a:solidFill>
                <a:latin typeface="Segoe UI Variable Text Light" pitchFamily="2" charset="0"/>
              </a:rPr>
              <a:t> Financeiro</a:t>
            </a:r>
            <a:endParaRPr lang="pt-BR" sz="1000" b="1">
              <a:solidFill>
                <a:schemeClr val="bg2">
                  <a:lumMod val="75000"/>
                </a:schemeClr>
              </a:solidFill>
              <a:latin typeface="Segoe UI Variable Text Light" pitchFamily="2" charset="0"/>
            </a:endParaRPr>
          </a:p>
        </xdr:txBody>
      </xdr:sp>
    </xdr:grpSp>
    <xdr:clientData/>
  </xdr:twoCellAnchor>
  <xdr:twoCellAnchor>
    <xdr:from>
      <xdr:col>9</xdr:col>
      <xdr:colOff>17163</xdr:colOff>
      <xdr:row>1</xdr:row>
      <xdr:rowOff>154459</xdr:rowOff>
    </xdr:from>
    <xdr:to>
      <xdr:col>13</xdr:col>
      <xdr:colOff>223108</xdr:colOff>
      <xdr:row>3</xdr:row>
      <xdr:rowOff>77230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2C1E79D7-F871-89ED-966C-6F3711B3528E}"/>
            </a:ext>
          </a:extLst>
        </xdr:cNvPr>
        <xdr:cNvGrpSpPr/>
      </xdr:nvGrpSpPr>
      <xdr:grpSpPr>
        <a:xfrm>
          <a:off x="6407268" y="314880"/>
          <a:ext cx="2638998" cy="243613"/>
          <a:chOff x="6418649" y="317500"/>
          <a:chExt cx="2642973" cy="248852"/>
        </a:xfrm>
      </xdr:grpSpPr>
      <xdr:sp macro="" textlink="">
        <xdr:nvSpPr>
          <xdr:cNvPr id="36" name="CaixaDeTexto 3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FEFD3787-A70F-0559-1127-7B79A3A0E3BF}"/>
              </a:ext>
            </a:extLst>
          </xdr:cNvPr>
          <xdr:cNvSpPr txBox="1"/>
        </xdr:nvSpPr>
        <xdr:spPr>
          <a:xfrm>
            <a:off x="6418649" y="317500"/>
            <a:ext cx="2642973" cy="248852"/>
          </a:xfrm>
          <a:prstGeom prst="rect">
            <a:avLst/>
          </a:prstGeom>
          <a:solidFill>
            <a:schemeClr val="bg2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>
                    <a:lumMod val="65000"/>
                  </a:schemeClr>
                </a:solidFill>
              </a:rPr>
              <a:t>Pesquisar</a:t>
            </a:r>
            <a:r>
              <a:rPr lang="pt-BR" sz="1000" baseline="0">
                <a:solidFill>
                  <a:schemeClr val="bg1">
                    <a:lumMod val="65000"/>
                  </a:schemeClr>
                </a:solidFill>
              </a:rPr>
              <a:t> dados...</a:t>
            </a:r>
            <a:endParaRPr lang="pt-BR" sz="1000">
              <a:solidFill>
                <a:schemeClr val="bg1">
                  <a:lumMod val="65000"/>
                </a:schemeClr>
              </a:solidFill>
            </a:endParaRPr>
          </a:p>
        </xdr:txBody>
      </xdr:sp>
      <xdr:pic>
        <xdr:nvPicPr>
          <xdr:cNvPr id="38" name="Gráfico 37" descr="Lupa estrutura de tópicos">
            <a:extLst>
              <a:ext uri="{FF2B5EF4-FFF2-40B4-BE49-F238E27FC236}">
                <a16:creationId xmlns:a16="http://schemas.microsoft.com/office/drawing/2014/main" id="{046F4AC6-8268-5A77-4F30-50B47B1797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8752703" y="334663"/>
            <a:ext cx="205946" cy="205946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411890</xdr:colOff>
      <xdr:row>1</xdr:row>
      <xdr:rowOff>19416</xdr:rowOff>
    </xdr:from>
    <xdr:to>
      <xdr:col>2</xdr:col>
      <xdr:colOff>557768</xdr:colOff>
      <xdr:row>6</xdr:row>
      <xdr:rowOff>17064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639BE119-C1DA-275E-3014-117C02B91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322" y="182457"/>
          <a:ext cx="755135" cy="812850"/>
        </a:xfrm>
        <a:prstGeom prst="rect">
          <a:avLst/>
        </a:prstGeom>
      </xdr:spPr>
    </xdr:pic>
    <xdr:clientData/>
  </xdr:twoCellAnchor>
  <xdr:twoCellAnchor>
    <xdr:from>
      <xdr:col>0</xdr:col>
      <xdr:colOff>17162</xdr:colOff>
      <xdr:row>1</xdr:row>
      <xdr:rowOff>77229</xdr:rowOff>
    </xdr:from>
    <xdr:to>
      <xdr:col>0</xdr:col>
      <xdr:colOff>1518851</xdr:colOff>
      <xdr:row>5</xdr:row>
      <xdr:rowOff>60067</xdr:rowOff>
    </xdr:to>
    <xdr:sp macro="" textlink="">
      <xdr:nvSpPr>
        <xdr:cNvPr id="49" name="Retângulo: Cantos Arredondados 48">
          <a:extLst>
            <a:ext uri="{FF2B5EF4-FFF2-40B4-BE49-F238E27FC236}">
              <a16:creationId xmlns:a16="http://schemas.microsoft.com/office/drawing/2014/main" id="{B4DDCF93-C84F-E1BD-E7D4-32ED4110C6BB}"/>
            </a:ext>
          </a:extLst>
        </xdr:cNvPr>
        <xdr:cNvSpPr/>
      </xdr:nvSpPr>
      <xdr:spPr>
        <a:xfrm>
          <a:off x="17162" y="240270"/>
          <a:ext cx="1501689" cy="635000"/>
        </a:xfrm>
        <a:prstGeom prst="roundRect">
          <a:avLst>
            <a:gd name="adj" fmla="val 3153"/>
          </a:avLst>
        </a:prstGeom>
        <a:solidFill>
          <a:srgbClr val="0099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>
              <a:solidFill>
                <a:schemeClr val="bg1"/>
              </a:solidFill>
            </a:rPr>
            <a:t>Money</a:t>
          </a:r>
          <a:r>
            <a:rPr lang="pt-BR" sz="1100" b="1" baseline="0">
              <a:solidFill>
                <a:schemeClr val="bg1"/>
              </a:solidFill>
            </a:rPr>
            <a:t> App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926756</xdr:colOff>
      <xdr:row>1</xdr:row>
      <xdr:rowOff>94391</xdr:rowOff>
    </xdr:from>
    <xdr:to>
      <xdr:col>0</xdr:col>
      <xdr:colOff>1450202</xdr:colOff>
      <xdr:row>4</xdr:row>
      <xdr:rowOff>128716</xdr:rowOff>
    </xdr:to>
    <xdr:pic>
      <xdr:nvPicPr>
        <xdr:cNvPr id="53" name="Gráfico 52" descr="Dinheiro com preenchimento sólido">
          <a:extLst>
            <a:ext uri="{FF2B5EF4-FFF2-40B4-BE49-F238E27FC236}">
              <a16:creationId xmlns:a16="http://schemas.microsoft.com/office/drawing/2014/main" id="{8D5A8612-7D81-583C-10C2-48A4F79FC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26756" y="257432"/>
          <a:ext cx="523446" cy="523446"/>
        </a:xfrm>
        <a:prstGeom prst="rect">
          <a:avLst/>
        </a:prstGeom>
      </xdr:spPr>
    </xdr:pic>
    <xdr:clientData/>
  </xdr:twoCellAnchor>
  <xdr:twoCellAnchor>
    <xdr:from>
      <xdr:col>8</xdr:col>
      <xdr:colOff>163040</xdr:colOff>
      <xdr:row>7</xdr:row>
      <xdr:rowOff>111552</xdr:rowOff>
    </xdr:from>
    <xdr:to>
      <xdr:col>13</xdr:col>
      <xdr:colOff>274594</xdr:colOff>
      <xdr:row>22</xdr:row>
      <xdr:rowOff>51486</xdr:rowOff>
    </xdr:to>
    <xdr:grpSp>
      <xdr:nvGrpSpPr>
        <xdr:cNvPr id="68" name="Agrupar 67">
          <a:extLst>
            <a:ext uri="{FF2B5EF4-FFF2-40B4-BE49-F238E27FC236}">
              <a16:creationId xmlns:a16="http://schemas.microsoft.com/office/drawing/2014/main" id="{BCEB4AE9-EE7C-85A7-E977-86257DF670CB}"/>
            </a:ext>
          </a:extLst>
        </xdr:cNvPr>
        <xdr:cNvGrpSpPr/>
      </xdr:nvGrpSpPr>
      <xdr:grpSpPr>
        <a:xfrm>
          <a:off x="5944882" y="1234499"/>
          <a:ext cx="3152870" cy="2346250"/>
          <a:chOff x="5955270" y="1252836"/>
          <a:chExt cx="4007365" cy="2385542"/>
        </a:xfrm>
      </xdr:grpSpPr>
      <xdr:sp macro="" textlink="">
        <xdr:nvSpPr>
          <xdr:cNvPr id="62" name="Retângulo: Cantos Arredondados 61">
            <a:extLst>
              <a:ext uri="{FF2B5EF4-FFF2-40B4-BE49-F238E27FC236}">
                <a16:creationId xmlns:a16="http://schemas.microsoft.com/office/drawing/2014/main" id="{12A41E11-7CDF-7DF5-3FBE-AA1B9B8FA980}"/>
              </a:ext>
            </a:extLst>
          </xdr:cNvPr>
          <xdr:cNvSpPr/>
        </xdr:nvSpPr>
        <xdr:spPr>
          <a:xfrm>
            <a:off x="5981013" y="1441621"/>
            <a:ext cx="3981622" cy="2196757"/>
          </a:xfrm>
          <a:prstGeom prst="round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3" name="Retângulo: Cantos Superiores Arredondados 62">
            <a:extLst>
              <a:ext uri="{FF2B5EF4-FFF2-40B4-BE49-F238E27FC236}">
                <a16:creationId xmlns:a16="http://schemas.microsoft.com/office/drawing/2014/main" id="{071358E5-002F-5F3A-DEFE-ACEEC6D8CA16}"/>
              </a:ext>
            </a:extLst>
          </xdr:cNvPr>
          <xdr:cNvSpPr/>
        </xdr:nvSpPr>
        <xdr:spPr>
          <a:xfrm>
            <a:off x="5955270" y="1312906"/>
            <a:ext cx="3964460" cy="446216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00CC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65" name="Gráfico 64" descr="Cofrinho estrutura de tópicos">
            <a:extLst>
              <a:ext uri="{FF2B5EF4-FFF2-40B4-BE49-F238E27FC236}">
                <a16:creationId xmlns:a16="http://schemas.microsoft.com/office/drawing/2014/main" id="{E60AC3BB-B335-AAAC-8C69-68139787EE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6255611" y="1252836"/>
            <a:ext cx="557768" cy="535459"/>
          </a:xfrm>
          <a:prstGeom prst="rect">
            <a:avLst/>
          </a:prstGeom>
        </xdr:spPr>
      </xdr:pic>
      <xdr:sp macro="" textlink="">
        <xdr:nvSpPr>
          <xdr:cNvPr id="66" name="CaixaDeTexto 65">
            <a:extLst>
              <a:ext uri="{FF2B5EF4-FFF2-40B4-BE49-F238E27FC236}">
                <a16:creationId xmlns:a16="http://schemas.microsoft.com/office/drawing/2014/main" id="{EE7217D5-A934-4676-6696-5DDA091B0120}"/>
              </a:ext>
            </a:extLst>
          </xdr:cNvPr>
          <xdr:cNvSpPr txBox="1"/>
        </xdr:nvSpPr>
        <xdr:spPr>
          <a:xfrm>
            <a:off x="6873447" y="1321487"/>
            <a:ext cx="2272470" cy="3947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000" b="1">
                <a:solidFill>
                  <a:schemeClr val="bg1"/>
                </a:solidFill>
                <a:latin typeface="Segoe UI Variable Text Light" pitchFamily="2" charset="0"/>
              </a:rPr>
              <a:t>Investimentos</a:t>
            </a:r>
          </a:p>
          <a:p>
            <a:endParaRPr lang="pt-BR" sz="1100" b="1">
              <a:solidFill>
                <a:schemeClr val="bg1"/>
              </a:solidFill>
            </a:endParaRPr>
          </a:p>
        </xdr:txBody>
      </xdr:sp>
      <xdr:graphicFrame macro="">
        <xdr:nvGraphicFramePr>
          <xdr:cNvPr id="67" name="Gráfico 66">
            <a:extLst>
              <a:ext uri="{FF2B5EF4-FFF2-40B4-BE49-F238E27FC236}">
                <a16:creationId xmlns:a16="http://schemas.microsoft.com/office/drawing/2014/main" id="{94FEA82F-76FA-417D-B40B-9211F32F45E4}"/>
              </a:ext>
            </a:extLst>
          </xdr:cNvPr>
          <xdr:cNvGraphicFramePr>
            <a:graphicFrameLocks/>
          </xdr:cNvGraphicFramePr>
        </xdr:nvGraphicFramePr>
        <xdr:xfrm>
          <a:off x="6216621" y="1699054"/>
          <a:ext cx="3539111" cy="17591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rissa de Souza Faleiro" refreshedDate="45669.90791238426" createdVersion="8" refreshedVersion="8" minRefreshableVersion="3" recordCount="103" xr:uid="{A3EA1742-49A8-4ECE-88CC-AA75B29ACF37}">
  <cacheSource type="worksheet">
    <worksheetSource name="tbl_lançamentos"/>
  </cacheSource>
  <cacheFields count="6">
    <cacheField name="Data" numFmtId="0">
      <sharedItems containsSemiMixedTypes="0" containsNonDate="0" containsDate="1" containsString="0" minDate="2024-10-01T00:00:00" maxDate="2025-01-01T00:00:00"/>
    </cacheField>
    <cacheField name="Mês" numFmtId="0">
      <sharedItems containsSemiMixedTypes="0" containsString="0" containsNumber="1" containsInteger="1" minValue="10" maxValue="12" count="3">
        <n v="10"/>
        <n v="11"/>
        <n v="12"/>
      </sharedItems>
    </cacheField>
    <cacheField name="Tipo" numFmtId="0">
      <sharedItems count="2">
        <s v="Débito"/>
        <s v="Crédito"/>
      </sharedItems>
    </cacheField>
    <cacheField name="Categoria" numFmtId="0">
      <sharedItems count="9">
        <s v="Manutenção da casa"/>
        <s v="Alimentação"/>
        <s v="Transporte"/>
        <s v="Diversão"/>
        <s v="Saúde"/>
        <s v="Educação"/>
        <s v="Salário"/>
        <s v="Venda de produto"/>
        <s v="Prestação de serviço"/>
      </sharedItems>
    </cacheField>
    <cacheField name="Descrição" numFmtId="0">
      <sharedItems/>
    </cacheField>
    <cacheField name="Valor" numFmtId="44">
      <sharedItems containsSemiMixedTypes="0" containsString="0" containsNumber="1" containsInteger="1" minValue="40" maxValue="10000"/>
    </cacheField>
  </cacheFields>
  <extLst>
    <ext xmlns:x14="http://schemas.microsoft.com/office/spreadsheetml/2009/9/main" uri="{725AE2AE-9491-48be-B2B4-4EB974FC3084}">
      <x14:pivotCacheDefinition pivotCacheId="5913276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d v="2024-10-01T00:00:00"/>
    <x v="0"/>
    <x v="0"/>
    <x v="0"/>
    <s v="Gás"/>
    <n v="130"/>
  </r>
  <r>
    <d v="2024-10-01T00:00:00"/>
    <x v="0"/>
    <x v="0"/>
    <x v="1"/>
    <s v="Supermercado"/>
    <n v="230"/>
  </r>
  <r>
    <d v="2024-10-02T00:00:00"/>
    <x v="0"/>
    <x v="0"/>
    <x v="2"/>
    <s v="Gasolina"/>
    <n v="160"/>
  </r>
  <r>
    <d v="2024-10-02T00:00:00"/>
    <x v="0"/>
    <x v="0"/>
    <x v="3"/>
    <s v="Cinema"/>
    <n v="90"/>
  </r>
  <r>
    <d v="2024-10-03T00:00:00"/>
    <x v="0"/>
    <x v="0"/>
    <x v="0"/>
    <s v="Aluguel"/>
    <n v="2300"/>
  </r>
  <r>
    <d v="2024-10-04T00:00:00"/>
    <x v="0"/>
    <x v="0"/>
    <x v="1"/>
    <s v="Restaurante"/>
    <n v="120"/>
  </r>
  <r>
    <d v="2024-10-05T00:00:00"/>
    <x v="0"/>
    <x v="0"/>
    <x v="4"/>
    <s v="Plano de Saúde"/>
    <n v="400"/>
  </r>
  <r>
    <d v="2024-10-06T00:00:00"/>
    <x v="0"/>
    <x v="0"/>
    <x v="5"/>
    <s v="Livros"/>
    <n v="180"/>
  </r>
  <r>
    <d v="2024-10-06T00:00:00"/>
    <x v="0"/>
    <x v="0"/>
    <x v="5"/>
    <s v="Curso de inglês"/>
    <n v="450"/>
  </r>
  <r>
    <d v="2024-10-07T00:00:00"/>
    <x v="0"/>
    <x v="0"/>
    <x v="1"/>
    <s v="Mercado"/>
    <n v="210"/>
  </r>
  <r>
    <d v="2024-10-08T00:00:00"/>
    <x v="0"/>
    <x v="0"/>
    <x v="2"/>
    <s v="Transporte público"/>
    <n v="100"/>
  </r>
  <r>
    <d v="2024-10-09T00:00:00"/>
    <x v="0"/>
    <x v="0"/>
    <x v="1"/>
    <s v="Jantar fora"/>
    <n v="130"/>
  </r>
  <r>
    <d v="2024-10-10T00:00:00"/>
    <x v="0"/>
    <x v="1"/>
    <x v="6"/>
    <s v="Salário mensal"/>
    <n v="10000"/>
  </r>
  <r>
    <d v="2024-10-10T00:00:00"/>
    <x v="0"/>
    <x v="1"/>
    <x v="7"/>
    <s v="venda de semi-joias"/>
    <n v="850"/>
  </r>
  <r>
    <d v="2024-10-10T00:00:00"/>
    <x v="0"/>
    <x v="1"/>
    <x v="8"/>
    <s v="Consultoria de marketing"/>
    <n v="800"/>
  </r>
  <r>
    <d v="2024-10-11T00:00:00"/>
    <x v="0"/>
    <x v="0"/>
    <x v="0"/>
    <s v="Conta de Água"/>
    <n v="120"/>
  </r>
  <r>
    <d v="2024-10-12T00:00:00"/>
    <x v="0"/>
    <x v="0"/>
    <x v="4"/>
    <s v="Gympass"/>
    <n v="270"/>
  </r>
  <r>
    <d v="2024-10-13T00:00:00"/>
    <x v="0"/>
    <x v="0"/>
    <x v="1"/>
    <s v="Restaurante"/>
    <n v="100"/>
  </r>
  <r>
    <d v="2024-10-14T00:00:00"/>
    <x v="0"/>
    <x v="0"/>
    <x v="2"/>
    <s v="Manutenção de veículo"/>
    <n v="250"/>
  </r>
  <r>
    <d v="2024-10-15T00:00:00"/>
    <x v="0"/>
    <x v="0"/>
    <x v="0"/>
    <s v="Conta de Luz"/>
    <n v="150"/>
  </r>
  <r>
    <d v="2024-10-16T00:00:00"/>
    <x v="0"/>
    <x v="0"/>
    <x v="1"/>
    <s v="Supermercado"/>
    <n v="220"/>
  </r>
  <r>
    <d v="2024-10-17T00:00:00"/>
    <x v="0"/>
    <x v="0"/>
    <x v="3"/>
    <s v="Ingressos para Show"/>
    <n v="390"/>
  </r>
  <r>
    <d v="2024-10-18T00:00:00"/>
    <x v="0"/>
    <x v="0"/>
    <x v="5"/>
    <s v="Taxa congresso"/>
    <n v="250"/>
  </r>
  <r>
    <d v="2024-10-19T00:00:00"/>
    <x v="0"/>
    <x v="0"/>
    <x v="2"/>
    <s v="Gasolina"/>
    <n v="180"/>
  </r>
  <r>
    <d v="2024-10-20T00:00:00"/>
    <x v="0"/>
    <x v="0"/>
    <x v="1"/>
    <s v="Mercado"/>
    <n v="250"/>
  </r>
  <r>
    <d v="2024-10-21T00:00:00"/>
    <x v="0"/>
    <x v="0"/>
    <x v="3"/>
    <s v="Netflix"/>
    <n v="40"/>
  </r>
  <r>
    <d v="2024-10-22T00:00:00"/>
    <x v="0"/>
    <x v="0"/>
    <x v="0"/>
    <s v="Internet / Celular"/>
    <n v="350"/>
  </r>
  <r>
    <d v="2024-10-23T00:00:00"/>
    <x v="0"/>
    <x v="0"/>
    <x v="1"/>
    <s v="Supermercado"/>
    <n v="180"/>
  </r>
  <r>
    <d v="2024-10-24T00:00:00"/>
    <x v="0"/>
    <x v="0"/>
    <x v="1"/>
    <s v="Jantar em restaurante"/>
    <n v="400"/>
  </r>
  <r>
    <d v="2024-10-25T00:00:00"/>
    <x v="0"/>
    <x v="0"/>
    <x v="0"/>
    <s v="Méveis para a sala"/>
    <n v="550"/>
  </r>
  <r>
    <d v="2024-10-26T00:00:00"/>
    <x v="0"/>
    <x v="0"/>
    <x v="2"/>
    <s v="Gasolina"/>
    <n v="220"/>
  </r>
  <r>
    <d v="2024-10-27T00:00:00"/>
    <x v="0"/>
    <x v="0"/>
    <x v="1"/>
    <s v="Jantar fora"/>
    <n v="150"/>
  </r>
  <r>
    <d v="2024-10-28T00:00:00"/>
    <x v="0"/>
    <x v="0"/>
    <x v="1"/>
    <s v="Restaurante"/>
    <n v="190"/>
  </r>
  <r>
    <d v="2024-10-29T00:00:00"/>
    <x v="0"/>
    <x v="0"/>
    <x v="0"/>
    <s v="Diarista"/>
    <n v="600"/>
  </r>
  <r>
    <d v="2024-10-30T00:00:00"/>
    <x v="0"/>
    <x v="0"/>
    <x v="2"/>
    <s v="Transporte público"/>
    <n v="120"/>
  </r>
  <r>
    <d v="2024-10-31T00:00:00"/>
    <x v="0"/>
    <x v="0"/>
    <x v="3"/>
    <s v="Cinema"/>
    <n v="70"/>
  </r>
  <r>
    <d v="2024-11-01T00:00:00"/>
    <x v="1"/>
    <x v="0"/>
    <x v="0"/>
    <s v="Aluguel"/>
    <n v="2300"/>
  </r>
  <r>
    <d v="2024-11-02T00:00:00"/>
    <x v="1"/>
    <x v="0"/>
    <x v="1"/>
    <s v="Mercado"/>
    <n v="200"/>
  </r>
  <r>
    <d v="2024-11-03T00:00:00"/>
    <x v="1"/>
    <x v="0"/>
    <x v="2"/>
    <s v="Gasolina"/>
    <n v="170"/>
  </r>
  <r>
    <d v="2024-11-04T00:00:00"/>
    <x v="1"/>
    <x v="0"/>
    <x v="3"/>
    <s v="Viagem"/>
    <n v="1200"/>
  </r>
  <r>
    <d v="2024-11-05T00:00:00"/>
    <x v="1"/>
    <x v="0"/>
    <x v="4"/>
    <s v="Plano de Saúde"/>
    <n v="400"/>
  </r>
  <r>
    <d v="2024-11-06T00:00:00"/>
    <x v="1"/>
    <x v="0"/>
    <x v="5"/>
    <s v="Curso de inglês"/>
    <n v="450"/>
  </r>
  <r>
    <d v="2024-11-06T00:00:00"/>
    <x v="1"/>
    <x v="0"/>
    <x v="1"/>
    <s v="Restaurante"/>
    <n v="130"/>
  </r>
  <r>
    <d v="2024-11-07T00:00:00"/>
    <x v="1"/>
    <x v="0"/>
    <x v="0"/>
    <s v="Conta de Água"/>
    <n v="145"/>
  </r>
  <r>
    <d v="2024-11-08T00:00:00"/>
    <x v="1"/>
    <x v="0"/>
    <x v="2"/>
    <s v="Transporte público"/>
    <n v="100"/>
  </r>
  <r>
    <d v="2024-11-09T00:00:00"/>
    <x v="1"/>
    <x v="0"/>
    <x v="4"/>
    <s v="Gympass"/>
    <n v="270"/>
  </r>
  <r>
    <d v="2024-11-10T00:00:00"/>
    <x v="1"/>
    <x v="1"/>
    <x v="6"/>
    <s v="Salário mensal"/>
    <n v="10000"/>
  </r>
  <r>
    <d v="2024-11-10T00:00:00"/>
    <x v="1"/>
    <x v="1"/>
    <x v="7"/>
    <s v="venda de semi-joias"/>
    <n v="1200"/>
  </r>
  <r>
    <d v="2024-11-10T00:00:00"/>
    <x v="1"/>
    <x v="1"/>
    <x v="8"/>
    <s v="Consultoria de marketing"/>
    <n v="1000"/>
  </r>
  <r>
    <d v="2024-11-11T00:00:00"/>
    <x v="1"/>
    <x v="0"/>
    <x v="0"/>
    <s v="Conta de Luz"/>
    <n v="170"/>
  </r>
  <r>
    <d v="2024-11-12T00:00:00"/>
    <x v="1"/>
    <x v="0"/>
    <x v="1"/>
    <s v="Mercado"/>
    <n v="180"/>
  </r>
  <r>
    <d v="2024-11-13T00:00:00"/>
    <x v="1"/>
    <x v="0"/>
    <x v="3"/>
    <s v="Festa"/>
    <n v="280"/>
  </r>
  <r>
    <d v="2024-11-14T00:00:00"/>
    <x v="1"/>
    <x v="0"/>
    <x v="0"/>
    <s v="Internet / Celular"/>
    <n v="350"/>
  </r>
  <r>
    <d v="2024-11-15T00:00:00"/>
    <x v="1"/>
    <x v="0"/>
    <x v="2"/>
    <s v="Gasolina"/>
    <n v="230"/>
  </r>
  <r>
    <d v="2024-11-16T00:00:00"/>
    <x v="1"/>
    <x v="0"/>
    <x v="5"/>
    <s v="Matrícula curso"/>
    <n v="300"/>
  </r>
  <r>
    <d v="2024-11-17T00:00:00"/>
    <x v="1"/>
    <x v="0"/>
    <x v="1"/>
    <s v="Bolo de Aniversário"/>
    <n v="200"/>
  </r>
  <r>
    <d v="2024-11-18T00:00:00"/>
    <x v="1"/>
    <x v="0"/>
    <x v="0"/>
    <s v="Diarista"/>
    <n v="600"/>
  </r>
  <r>
    <d v="2024-11-19T00:00:00"/>
    <x v="1"/>
    <x v="0"/>
    <x v="1"/>
    <s v="Supermercado"/>
    <n v="210"/>
  </r>
  <r>
    <d v="2024-11-20T00:00:00"/>
    <x v="1"/>
    <x v="0"/>
    <x v="2"/>
    <s v="Transporte público"/>
    <n v="100"/>
  </r>
  <r>
    <d v="2024-11-21T00:00:00"/>
    <x v="1"/>
    <x v="0"/>
    <x v="3"/>
    <s v="Netflix"/>
    <n v="40"/>
  </r>
  <r>
    <d v="2024-11-22T00:00:00"/>
    <x v="1"/>
    <x v="0"/>
    <x v="1"/>
    <s v="Restaurante"/>
    <n v="140"/>
  </r>
  <r>
    <d v="2024-11-23T00:00:00"/>
    <x v="1"/>
    <x v="0"/>
    <x v="0"/>
    <s v="Reparos hidráulicos"/>
    <n v="280"/>
  </r>
  <r>
    <d v="2024-11-24T00:00:00"/>
    <x v="1"/>
    <x v="0"/>
    <x v="2"/>
    <s v="Gasolina"/>
    <n v="200"/>
  </r>
  <r>
    <d v="2024-11-25T00:00:00"/>
    <x v="1"/>
    <x v="0"/>
    <x v="1"/>
    <s v="Haburguer"/>
    <n v="70"/>
  </r>
  <r>
    <d v="2024-11-26T00:00:00"/>
    <x v="1"/>
    <x v="0"/>
    <x v="1"/>
    <s v="Mercado"/>
    <n v="230"/>
  </r>
  <r>
    <d v="2024-11-27T00:00:00"/>
    <x v="1"/>
    <x v="0"/>
    <x v="3"/>
    <s v="Jantar fora"/>
    <n v="160"/>
  </r>
  <r>
    <d v="2024-11-28T00:00:00"/>
    <x v="1"/>
    <x v="0"/>
    <x v="2"/>
    <s v="Manutenção de veículo"/>
    <n v="350"/>
  </r>
  <r>
    <d v="2024-11-29T00:00:00"/>
    <x v="1"/>
    <x v="0"/>
    <x v="1"/>
    <s v="Supermercado"/>
    <n v="180"/>
  </r>
  <r>
    <d v="2024-11-30T00:00:00"/>
    <x v="1"/>
    <x v="0"/>
    <x v="0"/>
    <s v="Reparos de encanamento"/>
    <n v="250"/>
  </r>
  <r>
    <d v="2024-12-01T00:00:00"/>
    <x v="2"/>
    <x v="0"/>
    <x v="0"/>
    <s v="Aluguel"/>
    <n v="2300"/>
  </r>
  <r>
    <d v="2024-12-02T00:00:00"/>
    <x v="2"/>
    <x v="0"/>
    <x v="1"/>
    <s v="Mercado"/>
    <n v="250"/>
  </r>
  <r>
    <d v="2024-12-03T00:00:00"/>
    <x v="2"/>
    <x v="0"/>
    <x v="2"/>
    <s v="Gasolina"/>
    <n v="170"/>
  </r>
  <r>
    <d v="2024-12-04T00:00:00"/>
    <x v="2"/>
    <x v="0"/>
    <x v="3"/>
    <s v="Viagem"/>
    <n v="600"/>
  </r>
  <r>
    <d v="2024-12-05T00:00:00"/>
    <x v="2"/>
    <x v="0"/>
    <x v="4"/>
    <s v="Plano de Saúde"/>
    <n v="400"/>
  </r>
  <r>
    <d v="2024-12-06T00:00:00"/>
    <x v="2"/>
    <x v="0"/>
    <x v="5"/>
    <s v="Curso de inglês"/>
    <n v="450"/>
  </r>
  <r>
    <d v="2024-12-06T00:00:00"/>
    <x v="2"/>
    <x v="0"/>
    <x v="1"/>
    <s v="Restaurante"/>
    <n v="140"/>
  </r>
  <r>
    <d v="2024-12-07T00:00:00"/>
    <x v="2"/>
    <x v="0"/>
    <x v="0"/>
    <s v="Conta de Água"/>
    <n v="100"/>
  </r>
  <r>
    <d v="2024-12-08T00:00:00"/>
    <x v="2"/>
    <x v="0"/>
    <x v="2"/>
    <s v="Transporte público"/>
    <n v="120"/>
  </r>
  <r>
    <d v="2024-12-09T00:00:00"/>
    <x v="2"/>
    <x v="0"/>
    <x v="4"/>
    <s v="Gympass"/>
    <n v="270"/>
  </r>
  <r>
    <d v="2024-12-10T00:00:00"/>
    <x v="2"/>
    <x v="1"/>
    <x v="6"/>
    <s v="Salário mensal"/>
    <n v="10000"/>
  </r>
  <r>
    <d v="2024-12-10T00:00:00"/>
    <x v="2"/>
    <x v="1"/>
    <x v="7"/>
    <s v="venda de semi-joias"/>
    <n v="600"/>
  </r>
  <r>
    <d v="2024-12-10T00:00:00"/>
    <x v="2"/>
    <x v="1"/>
    <x v="8"/>
    <s v="Consultoria de marketing"/>
    <n v="1200"/>
  </r>
  <r>
    <d v="2024-12-11T00:00:00"/>
    <x v="2"/>
    <x v="0"/>
    <x v="0"/>
    <s v="Conta de Luz"/>
    <n v="130"/>
  </r>
  <r>
    <d v="2024-12-12T00:00:00"/>
    <x v="2"/>
    <x v="0"/>
    <x v="1"/>
    <s v="Supermercado"/>
    <n v="190"/>
  </r>
  <r>
    <d v="2024-12-13T00:00:00"/>
    <x v="2"/>
    <x v="0"/>
    <x v="2"/>
    <s v="Gasolina"/>
    <n v="220"/>
  </r>
  <r>
    <d v="2024-12-14T00:00:00"/>
    <x v="2"/>
    <x v="0"/>
    <x v="3"/>
    <s v="Cinema"/>
    <n v="100"/>
  </r>
  <r>
    <d v="2024-12-15T00:00:00"/>
    <x v="2"/>
    <x v="0"/>
    <x v="0"/>
    <s v="Internet / Celular"/>
    <n v="350"/>
  </r>
  <r>
    <d v="2024-12-16T00:00:00"/>
    <x v="2"/>
    <x v="0"/>
    <x v="5"/>
    <s v="Material escolar"/>
    <n v="110"/>
  </r>
  <r>
    <d v="2024-12-17T00:00:00"/>
    <x v="2"/>
    <x v="0"/>
    <x v="0"/>
    <s v="Gás"/>
    <n v="130"/>
  </r>
  <r>
    <d v="2024-12-18T00:00:00"/>
    <x v="2"/>
    <x v="0"/>
    <x v="2"/>
    <s v="Gasolina"/>
    <n v="190"/>
  </r>
  <r>
    <d v="2024-12-19T00:00:00"/>
    <x v="2"/>
    <x v="0"/>
    <x v="1"/>
    <s v="Mercado"/>
    <n v="220"/>
  </r>
  <r>
    <d v="2024-12-20T00:00:00"/>
    <x v="2"/>
    <x v="0"/>
    <x v="4"/>
    <s v="Fisioterapia"/>
    <n v="330"/>
  </r>
  <r>
    <d v="2024-12-21T00:00:00"/>
    <x v="2"/>
    <x v="0"/>
    <x v="0"/>
    <s v="Reparos elétricos"/>
    <n v="260"/>
  </r>
  <r>
    <d v="2024-12-22T00:00:00"/>
    <x v="2"/>
    <x v="0"/>
    <x v="3"/>
    <s v="Netflix"/>
    <n v="40"/>
  </r>
  <r>
    <d v="2024-12-23T00:00:00"/>
    <x v="2"/>
    <x v="0"/>
    <x v="4"/>
    <s v="Consultoria médica"/>
    <n v="190"/>
  </r>
  <r>
    <d v="2024-12-24T00:00:00"/>
    <x v="2"/>
    <x v="0"/>
    <x v="1"/>
    <s v="Restaurante"/>
    <n v="150"/>
  </r>
  <r>
    <d v="2024-12-25T00:00:00"/>
    <x v="2"/>
    <x v="0"/>
    <x v="0"/>
    <s v="Diarista"/>
    <n v="600"/>
  </r>
  <r>
    <d v="2024-12-26T00:00:00"/>
    <x v="2"/>
    <x v="0"/>
    <x v="4"/>
    <s v="Exame médico"/>
    <n v="230"/>
  </r>
  <r>
    <d v="2024-12-27T00:00:00"/>
    <x v="2"/>
    <x v="0"/>
    <x v="1"/>
    <s v="Mercado"/>
    <n v="200"/>
  </r>
  <r>
    <d v="2024-12-28T00:00:00"/>
    <x v="2"/>
    <x v="0"/>
    <x v="0"/>
    <s v="Troca de lampadas"/>
    <n v="120"/>
  </r>
  <r>
    <d v="2024-12-29T00:00:00"/>
    <x v="2"/>
    <x v="0"/>
    <x v="3"/>
    <s v="Viagem"/>
    <n v="1000"/>
  </r>
  <r>
    <d v="2024-12-30T00:00:00"/>
    <x v="2"/>
    <x v="0"/>
    <x v="2"/>
    <s v="Gasolina"/>
    <n v="200"/>
  </r>
  <r>
    <d v="2024-12-31T00:00:00"/>
    <x v="2"/>
    <x v="0"/>
    <x v="0"/>
    <s v="Reparos diversos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77D41-6D7B-4AD2-870D-F4F1358722DB}" name="RECEITAS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2:C26" firstHeaderRow="1" firstDataRow="1" firstDataCol="1" rowPageCount="1" colPageCount="1"/>
  <pivotFields count="6">
    <pivotField showAll="0"/>
    <pivotField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10">
        <item x="1"/>
        <item x="3"/>
        <item x="5"/>
        <item x="0"/>
        <item x="8"/>
        <item x="6"/>
        <item x="4"/>
        <item x="2"/>
        <item x="7"/>
        <item t="default"/>
      </items>
    </pivotField>
    <pivotField showAll="0"/>
    <pivotField dataField="1" numFmtId="44" showAll="0"/>
  </pivotFields>
  <rowFields count="1">
    <field x="3"/>
  </rowFields>
  <rowItems count="4">
    <i>
      <x v="4"/>
    </i>
    <i>
      <x v="5"/>
    </i>
    <i>
      <x v="8"/>
    </i>
    <i t="grand">
      <x/>
    </i>
  </rowItems>
  <colItems count="1">
    <i/>
  </colItems>
  <pageFields count="1">
    <pageField fld="2" item="0" hier="-1"/>
  </pageFields>
  <dataFields count="1">
    <dataField name="Soma de Valor" fld="5" baseField="0" baseItem="0" numFmtId="44"/>
  </dataFields>
  <formats count="1">
    <format dxfId="12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0203F-FF4C-440C-8EFC-B33B20207809}" name="DESPESAS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:C10" firstHeaderRow="1" firstDataRow="1" firstDataCol="1" rowPageCount="1" colPageCount="1"/>
  <pivotFields count="6">
    <pivotField showAll="0"/>
    <pivotField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10">
        <item x="1"/>
        <item x="3"/>
        <item x="5"/>
        <item x="0"/>
        <item x="8"/>
        <item x="6"/>
        <item x="4"/>
        <item x="2"/>
        <item x="7"/>
        <item t="default"/>
      </items>
    </pivotField>
    <pivotField showAll="0"/>
    <pivotField dataField="1" numFmtId="44" showAll="0"/>
  </pivotFields>
  <rowFields count="1">
    <field x="3"/>
  </rowFields>
  <rowItems count="7">
    <i>
      <x/>
    </i>
    <i>
      <x v="1"/>
    </i>
    <i>
      <x v="2"/>
    </i>
    <i>
      <x v="3"/>
    </i>
    <i>
      <x v="6"/>
    </i>
    <i>
      <x v="7"/>
    </i>
    <i t="grand">
      <x/>
    </i>
  </rowItems>
  <colItems count="1">
    <i/>
  </colItems>
  <pageFields count="1">
    <pageField fld="2" item="1" hier="-1"/>
  </pageFields>
  <dataFields count="1">
    <dataField name="Soma de Valor" fld="5" baseField="0" baseItem="0" numFmtId="44"/>
  </dataFields>
  <formats count="1">
    <format dxfId="8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79745F16-0B17-4364-9177-3BC2A7A0D137}" sourceName="Mês">
  <pivotTables>
    <pivotTable tabId="2" name="DESPESAS"/>
    <pivotTable tabId="2" name="RECEITAS"/>
  </pivotTables>
  <data>
    <tabular pivotCacheId="591327696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B30EEFE0-D038-4F90-B959-6E1FCE34465A}" cache="SegmentaçãodeDados_Mês" caption="Mês" style="SlicerStyleLight6 2" rowHeight="2201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B92485-241D-4AED-A550-AA77A8FBB88A}" name="tbl_lançamentos" displayName="tbl_lançamentos" ref="A1:F104" totalsRowShown="0" headerRowDxfId="13" dataDxfId="14">
  <autoFilter ref="A1:F104" xr:uid="{00000000-0001-0000-0000-000000000000}"/>
  <tableColumns count="6">
    <tableColumn id="1" xr3:uid="{5BE2A455-30F0-49FF-AA83-DAA7A220373A}" name="Data" dataDxfId="11"/>
    <tableColumn id="6" xr3:uid="{A0ED230C-AA51-4F50-ACA2-5B539F323A3A}" name="Mês" dataDxfId="9">
      <calculatedColumnFormula>MONTH(tbl_lançamentos[[#This Row],[Data]])</calculatedColumnFormula>
    </tableColumn>
    <tableColumn id="2" xr3:uid="{6DF0C9F4-DE04-4AAD-B25E-598533C0DE9D}" name="Tipo" dataDxfId="10"/>
    <tableColumn id="3" xr3:uid="{96BF4226-5B61-4D53-BA6C-786658FDA0F1}" name="Categoria" dataDxfId="17"/>
    <tableColumn id="4" xr3:uid="{88DACF77-CB83-41C2-AAE9-A8D2ACBDDCE5}" name="Descrição" dataDxfId="16"/>
    <tableColumn id="5" xr3:uid="{32BABEDD-0588-4287-BE98-F32862B4A66F}" name="Valor" dataDxfId="15" dataCellStyle="Moeda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16E90A-BEE8-46B5-9C6A-CB151875E9C3}" name="Tabela2" displayName="Tabela2" ref="C6:D21" totalsRowShown="0" headerRowDxfId="4">
  <autoFilter ref="C6:D21" xr:uid="{C716E90A-BEE8-46B5-9C6A-CB151875E9C3}"/>
  <tableColumns count="2">
    <tableColumn id="1" xr3:uid="{E01B82FB-C1AB-48E3-B8DF-642CA8238AD0}" name="Data de Lançamento" dataDxfId="5">
      <calculatedColumnFormula>C6+6</calculatedColumnFormula>
    </tableColumn>
    <tableColumn id="2" xr3:uid="{0BCE511D-7BDB-47F2-9EBC-745588E6B327}" name="Depósito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outlinePr summaryBelow="0" summaryRight="0"/>
  </sheetPr>
  <dimension ref="A1:F104"/>
  <sheetViews>
    <sheetView workbookViewId="0"/>
  </sheetViews>
  <sheetFormatPr defaultColWidth="12.6328125" defaultRowHeight="15.75" customHeight="1" x14ac:dyDescent="0.25"/>
  <cols>
    <col min="1" max="1" width="9.90625" bestFit="1" customWidth="1"/>
    <col min="2" max="2" width="9.90625" customWidth="1"/>
    <col min="3" max="3" width="9.1796875" bestFit="1" customWidth="1"/>
    <col min="4" max="4" width="17.90625" bestFit="1" customWidth="1"/>
    <col min="5" max="5" width="21.6328125" bestFit="1" customWidth="1"/>
    <col min="6" max="6" width="13.08984375" bestFit="1" customWidth="1"/>
  </cols>
  <sheetData>
    <row r="1" spans="1:6" ht="13" x14ac:dyDescent="0.3">
      <c r="A1" s="12" t="s">
        <v>0</v>
      </c>
      <c r="B1" s="12" t="s">
        <v>59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75" customHeight="1" x14ac:dyDescent="0.25">
      <c r="A2" s="2">
        <v>45566</v>
      </c>
      <c r="B2" s="13">
        <f>MONTH(tbl_lançamentos[[#This Row],[Data]])</f>
        <v>10</v>
      </c>
      <c r="C2" s="3" t="s">
        <v>5</v>
      </c>
      <c r="D2" s="3" t="s">
        <v>6</v>
      </c>
      <c r="E2" s="3" t="s">
        <v>47</v>
      </c>
      <c r="F2" s="5">
        <v>130</v>
      </c>
    </row>
    <row r="3" spans="1:6" ht="15.75" customHeight="1" x14ac:dyDescent="0.25">
      <c r="A3" s="2">
        <v>45566</v>
      </c>
      <c r="B3" s="13">
        <f>MONTH(tbl_lançamentos[[#This Row],[Data]])</f>
        <v>10</v>
      </c>
      <c r="C3" s="3" t="s">
        <v>5</v>
      </c>
      <c r="D3" s="3" t="s">
        <v>8</v>
      </c>
      <c r="E3" s="3" t="s">
        <v>9</v>
      </c>
      <c r="F3" s="5">
        <v>230</v>
      </c>
    </row>
    <row r="4" spans="1:6" ht="15.75" customHeight="1" x14ac:dyDescent="0.25">
      <c r="A4" s="2">
        <v>45567</v>
      </c>
      <c r="B4" s="13">
        <f>MONTH(tbl_lançamentos[[#This Row],[Data]])</f>
        <v>10</v>
      </c>
      <c r="C4" s="3" t="s">
        <v>5</v>
      </c>
      <c r="D4" s="3" t="s">
        <v>10</v>
      </c>
      <c r="E4" s="3" t="s">
        <v>11</v>
      </c>
      <c r="F4" s="5">
        <v>160</v>
      </c>
    </row>
    <row r="5" spans="1:6" ht="15.75" customHeight="1" x14ac:dyDescent="0.25">
      <c r="A5" s="2">
        <v>45567</v>
      </c>
      <c r="B5" s="13">
        <f>MONTH(tbl_lançamentos[[#This Row],[Data]])</f>
        <v>10</v>
      </c>
      <c r="C5" s="3" t="s">
        <v>5</v>
      </c>
      <c r="D5" s="3" t="s">
        <v>12</v>
      </c>
      <c r="E5" s="3" t="s">
        <v>13</v>
      </c>
      <c r="F5" s="5">
        <v>90</v>
      </c>
    </row>
    <row r="6" spans="1:6" ht="15.75" customHeight="1" x14ac:dyDescent="0.25">
      <c r="A6" s="2">
        <v>45568</v>
      </c>
      <c r="B6" s="13">
        <f>MONTH(tbl_lançamentos[[#This Row],[Data]])</f>
        <v>10</v>
      </c>
      <c r="C6" s="3" t="s">
        <v>5</v>
      </c>
      <c r="D6" s="3" t="s">
        <v>6</v>
      </c>
      <c r="E6" s="3" t="s">
        <v>43</v>
      </c>
      <c r="F6" s="5">
        <v>2300</v>
      </c>
    </row>
    <row r="7" spans="1:6" ht="15.75" customHeight="1" x14ac:dyDescent="0.25">
      <c r="A7" s="2">
        <v>45569</v>
      </c>
      <c r="B7" s="13">
        <f>MONTH(tbl_lançamentos[[#This Row],[Data]])</f>
        <v>10</v>
      </c>
      <c r="C7" s="3" t="s">
        <v>5</v>
      </c>
      <c r="D7" s="3" t="s">
        <v>8</v>
      </c>
      <c r="E7" s="3" t="s">
        <v>14</v>
      </c>
      <c r="F7" s="5">
        <v>120</v>
      </c>
    </row>
    <row r="8" spans="1:6" ht="15.75" customHeight="1" x14ac:dyDescent="0.25">
      <c r="A8" s="2">
        <v>45570</v>
      </c>
      <c r="B8" s="13">
        <f>MONTH(tbl_lançamentos[[#This Row],[Data]])</f>
        <v>10</v>
      </c>
      <c r="C8" s="3" t="s">
        <v>5</v>
      </c>
      <c r="D8" s="3" t="s">
        <v>15</v>
      </c>
      <c r="E8" s="3" t="s">
        <v>16</v>
      </c>
      <c r="F8" s="5">
        <v>400</v>
      </c>
    </row>
    <row r="9" spans="1:6" ht="15.75" customHeight="1" x14ac:dyDescent="0.25">
      <c r="A9" s="2">
        <v>45571</v>
      </c>
      <c r="B9" s="13">
        <f>MONTH(tbl_lançamentos[[#This Row],[Data]])</f>
        <v>10</v>
      </c>
      <c r="C9" s="3" t="s">
        <v>5</v>
      </c>
      <c r="D9" s="3" t="s">
        <v>17</v>
      </c>
      <c r="E9" s="3" t="s">
        <v>56</v>
      </c>
      <c r="F9" s="5">
        <v>180</v>
      </c>
    </row>
    <row r="10" spans="1:6" ht="15.75" customHeight="1" x14ac:dyDescent="0.25">
      <c r="A10" s="2">
        <v>45571</v>
      </c>
      <c r="B10" s="13">
        <f>MONTH(tbl_lançamentos[[#This Row],[Data]])</f>
        <v>10</v>
      </c>
      <c r="C10" s="3" t="s">
        <v>5</v>
      </c>
      <c r="D10" s="3" t="s">
        <v>17</v>
      </c>
      <c r="E10" s="3" t="s">
        <v>31</v>
      </c>
      <c r="F10" s="5">
        <v>450</v>
      </c>
    </row>
    <row r="11" spans="1:6" ht="15.75" customHeight="1" x14ac:dyDescent="0.25">
      <c r="A11" s="2">
        <v>45572</v>
      </c>
      <c r="B11" s="13">
        <f>MONTH(tbl_lançamentos[[#This Row],[Data]])</f>
        <v>10</v>
      </c>
      <c r="C11" s="3" t="s">
        <v>5</v>
      </c>
      <c r="D11" s="3" t="s">
        <v>8</v>
      </c>
      <c r="E11" s="3" t="s">
        <v>19</v>
      </c>
      <c r="F11" s="5">
        <v>210</v>
      </c>
    </row>
    <row r="12" spans="1:6" ht="15.75" customHeight="1" x14ac:dyDescent="0.25">
      <c r="A12" s="2">
        <v>45573</v>
      </c>
      <c r="B12" s="13">
        <f>MONTH(tbl_lançamentos[[#This Row],[Data]])</f>
        <v>10</v>
      </c>
      <c r="C12" s="3" t="s">
        <v>5</v>
      </c>
      <c r="D12" s="3" t="s">
        <v>10</v>
      </c>
      <c r="E12" s="3" t="s">
        <v>20</v>
      </c>
      <c r="F12" s="5">
        <v>100</v>
      </c>
    </row>
    <row r="13" spans="1:6" ht="15.75" customHeight="1" x14ac:dyDescent="0.25">
      <c r="A13" s="2">
        <v>45574</v>
      </c>
      <c r="B13" s="13">
        <f>MONTH(tbl_lançamentos[[#This Row],[Data]])</f>
        <v>10</v>
      </c>
      <c r="C13" s="3" t="s">
        <v>5</v>
      </c>
      <c r="D13" s="3" t="s">
        <v>8</v>
      </c>
      <c r="E13" s="3" t="s">
        <v>21</v>
      </c>
      <c r="F13" s="5">
        <v>130</v>
      </c>
    </row>
    <row r="14" spans="1:6" ht="15.75" customHeight="1" x14ac:dyDescent="0.25">
      <c r="A14" s="4">
        <v>45575</v>
      </c>
      <c r="B14" s="13">
        <f>MONTH(tbl_lançamentos[[#This Row],[Data]])</f>
        <v>10</v>
      </c>
      <c r="C14" s="3" t="s">
        <v>22</v>
      </c>
      <c r="D14" s="3" t="s">
        <v>23</v>
      </c>
      <c r="E14" s="3" t="s">
        <v>24</v>
      </c>
      <c r="F14" s="5">
        <v>10000</v>
      </c>
    </row>
    <row r="15" spans="1:6" ht="15.75" customHeight="1" x14ac:dyDescent="0.25">
      <c r="A15" s="4">
        <v>45575</v>
      </c>
      <c r="B15" s="13">
        <f>MONTH(tbl_lançamentos[[#This Row],[Data]])</f>
        <v>10</v>
      </c>
      <c r="C15" s="3" t="s">
        <v>22</v>
      </c>
      <c r="D15" s="3" t="s">
        <v>25</v>
      </c>
      <c r="E15" s="3" t="s">
        <v>41</v>
      </c>
      <c r="F15" s="5">
        <v>850</v>
      </c>
    </row>
    <row r="16" spans="1:6" ht="15.75" customHeight="1" x14ac:dyDescent="0.25">
      <c r="A16" s="4">
        <v>45575</v>
      </c>
      <c r="B16" s="13">
        <f>MONTH(tbl_lançamentos[[#This Row],[Data]])</f>
        <v>10</v>
      </c>
      <c r="C16" s="3" t="s">
        <v>22</v>
      </c>
      <c r="D16" s="3" t="s">
        <v>26</v>
      </c>
      <c r="E16" s="3" t="s">
        <v>42</v>
      </c>
      <c r="F16" s="5">
        <v>800</v>
      </c>
    </row>
    <row r="17" spans="1:6" ht="15.75" customHeight="1" x14ac:dyDescent="0.25">
      <c r="A17" s="4">
        <v>45576</v>
      </c>
      <c r="B17" s="13">
        <f>MONTH(tbl_lançamentos[[#This Row],[Data]])</f>
        <v>10</v>
      </c>
      <c r="C17" s="3" t="s">
        <v>5</v>
      </c>
      <c r="D17" s="3" t="s">
        <v>6</v>
      </c>
      <c r="E17" s="3" t="s">
        <v>44</v>
      </c>
      <c r="F17" s="5">
        <v>120</v>
      </c>
    </row>
    <row r="18" spans="1:6" ht="15.75" customHeight="1" x14ac:dyDescent="0.25">
      <c r="A18" s="4">
        <v>45577</v>
      </c>
      <c r="B18" s="13">
        <f>MONTH(tbl_lançamentos[[#This Row],[Data]])</f>
        <v>10</v>
      </c>
      <c r="C18" s="3" t="s">
        <v>5</v>
      </c>
      <c r="D18" s="3" t="s">
        <v>15</v>
      </c>
      <c r="E18" s="3" t="s">
        <v>28</v>
      </c>
      <c r="F18" s="5">
        <v>270</v>
      </c>
    </row>
    <row r="19" spans="1:6" ht="15.75" customHeight="1" x14ac:dyDescent="0.25">
      <c r="A19" s="4">
        <v>45578</v>
      </c>
      <c r="B19" s="13">
        <f>MONTH(tbl_lançamentos[[#This Row],[Data]])</f>
        <v>10</v>
      </c>
      <c r="C19" s="3" t="s">
        <v>5</v>
      </c>
      <c r="D19" s="3" t="s">
        <v>8</v>
      </c>
      <c r="E19" s="3" t="s">
        <v>14</v>
      </c>
      <c r="F19" s="5">
        <v>100</v>
      </c>
    </row>
    <row r="20" spans="1:6" ht="15.75" customHeight="1" x14ac:dyDescent="0.25">
      <c r="A20" s="4">
        <v>45579</v>
      </c>
      <c r="B20" s="13">
        <f>MONTH(tbl_lançamentos[[#This Row],[Data]])</f>
        <v>10</v>
      </c>
      <c r="C20" s="3" t="s">
        <v>5</v>
      </c>
      <c r="D20" s="3" t="s">
        <v>10</v>
      </c>
      <c r="E20" s="3" t="s">
        <v>29</v>
      </c>
      <c r="F20" s="5">
        <v>250</v>
      </c>
    </row>
    <row r="21" spans="1:6" ht="15.75" customHeight="1" x14ac:dyDescent="0.25">
      <c r="A21" s="4">
        <v>45580</v>
      </c>
      <c r="B21" s="13">
        <f>MONTH(tbl_lançamentos[[#This Row],[Data]])</f>
        <v>10</v>
      </c>
      <c r="C21" s="3" t="s">
        <v>5</v>
      </c>
      <c r="D21" s="3" t="s">
        <v>6</v>
      </c>
      <c r="E21" s="3" t="s">
        <v>45</v>
      </c>
      <c r="F21" s="5">
        <v>150</v>
      </c>
    </row>
    <row r="22" spans="1:6" ht="12.5" x14ac:dyDescent="0.25">
      <c r="A22" s="4">
        <v>45581</v>
      </c>
      <c r="B22" s="13">
        <f>MONTH(tbl_lançamentos[[#This Row],[Data]])</f>
        <v>10</v>
      </c>
      <c r="C22" s="3" t="s">
        <v>5</v>
      </c>
      <c r="D22" s="3" t="s">
        <v>8</v>
      </c>
      <c r="E22" s="3" t="s">
        <v>9</v>
      </c>
      <c r="F22" s="5">
        <v>220</v>
      </c>
    </row>
    <row r="23" spans="1:6" ht="12.5" x14ac:dyDescent="0.25">
      <c r="A23" s="4">
        <v>45582</v>
      </c>
      <c r="B23" s="13">
        <f>MONTH(tbl_lançamentos[[#This Row],[Data]])</f>
        <v>10</v>
      </c>
      <c r="C23" s="3" t="s">
        <v>5</v>
      </c>
      <c r="D23" s="3" t="s">
        <v>12</v>
      </c>
      <c r="E23" s="3" t="s">
        <v>30</v>
      </c>
      <c r="F23" s="5">
        <v>390</v>
      </c>
    </row>
    <row r="24" spans="1:6" ht="12.5" x14ac:dyDescent="0.25">
      <c r="A24" s="4">
        <v>45583</v>
      </c>
      <c r="B24" s="13">
        <f>MONTH(tbl_lançamentos[[#This Row],[Data]])</f>
        <v>10</v>
      </c>
      <c r="C24" s="3" t="s">
        <v>5</v>
      </c>
      <c r="D24" s="3" t="s">
        <v>17</v>
      </c>
      <c r="E24" s="3" t="s">
        <v>57</v>
      </c>
      <c r="F24" s="5">
        <v>250</v>
      </c>
    </row>
    <row r="25" spans="1:6" ht="12.5" x14ac:dyDescent="0.25">
      <c r="A25" s="4">
        <v>45584</v>
      </c>
      <c r="B25" s="13">
        <f>MONTH(tbl_lançamentos[[#This Row],[Data]])</f>
        <v>10</v>
      </c>
      <c r="C25" s="3" t="s">
        <v>5</v>
      </c>
      <c r="D25" s="3" t="s">
        <v>10</v>
      </c>
      <c r="E25" s="3" t="s">
        <v>11</v>
      </c>
      <c r="F25" s="5">
        <v>180</v>
      </c>
    </row>
    <row r="26" spans="1:6" ht="12.5" x14ac:dyDescent="0.25">
      <c r="A26" s="4">
        <v>45585</v>
      </c>
      <c r="B26" s="13">
        <f>MONTH(tbl_lançamentos[[#This Row],[Data]])</f>
        <v>10</v>
      </c>
      <c r="C26" s="3" t="s">
        <v>5</v>
      </c>
      <c r="D26" s="3" t="s">
        <v>8</v>
      </c>
      <c r="E26" s="3" t="s">
        <v>19</v>
      </c>
      <c r="F26" s="5">
        <v>250</v>
      </c>
    </row>
    <row r="27" spans="1:6" ht="12.5" x14ac:dyDescent="0.25">
      <c r="A27" s="4">
        <v>45586</v>
      </c>
      <c r="B27" s="13">
        <f>MONTH(tbl_lançamentos[[#This Row],[Data]])</f>
        <v>10</v>
      </c>
      <c r="C27" s="3" t="s">
        <v>5</v>
      </c>
      <c r="D27" s="3" t="s">
        <v>12</v>
      </c>
      <c r="E27" s="3" t="s">
        <v>54</v>
      </c>
      <c r="F27" s="5">
        <v>40</v>
      </c>
    </row>
    <row r="28" spans="1:6" ht="12.5" x14ac:dyDescent="0.25">
      <c r="A28" s="4">
        <v>45587</v>
      </c>
      <c r="B28" s="13">
        <f>MONTH(tbl_lançamentos[[#This Row],[Data]])</f>
        <v>10</v>
      </c>
      <c r="C28" s="3" t="s">
        <v>5</v>
      </c>
      <c r="D28" s="3" t="s">
        <v>6</v>
      </c>
      <c r="E28" s="3" t="s">
        <v>46</v>
      </c>
      <c r="F28" s="5">
        <v>350</v>
      </c>
    </row>
    <row r="29" spans="1:6" ht="12.5" x14ac:dyDescent="0.25">
      <c r="A29" s="4">
        <v>45588</v>
      </c>
      <c r="B29" s="13">
        <f>MONTH(tbl_lançamentos[[#This Row],[Data]])</f>
        <v>10</v>
      </c>
      <c r="C29" s="3" t="s">
        <v>5</v>
      </c>
      <c r="D29" s="3" t="s">
        <v>8</v>
      </c>
      <c r="E29" s="3" t="s">
        <v>9</v>
      </c>
      <c r="F29" s="5">
        <v>180</v>
      </c>
    </row>
    <row r="30" spans="1:6" ht="12.5" x14ac:dyDescent="0.25">
      <c r="A30" s="4">
        <v>45589</v>
      </c>
      <c r="B30" s="13">
        <f>MONTH(tbl_lançamentos[[#This Row],[Data]])</f>
        <v>10</v>
      </c>
      <c r="C30" s="3" t="s">
        <v>5</v>
      </c>
      <c r="D30" s="3" t="s">
        <v>8</v>
      </c>
      <c r="E30" s="3" t="s">
        <v>32</v>
      </c>
      <c r="F30" s="5">
        <v>400</v>
      </c>
    </row>
    <row r="31" spans="1:6" ht="12.5" x14ac:dyDescent="0.25">
      <c r="A31" s="4">
        <v>45590</v>
      </c>
      <c r="B31" s="13">
        <f>MONTH(tbl_lançamentos[[#This Row],[Data]])</f>
        <v>10</v>
      </c>
      <c r="C31" s="3" t="s">
        <v>5</v>
      </c>
      <c r="D31" s="3" t="s">
        <v>6</v>
      </c>
      <c r="E31" s="3" t="s">
        <v>49</v>
      </c>
      <c r="F31" s="5">
        <v>550</v>
      </c>
    </row>
    <row r="32" spans="1:6" ht="12.5" x14ac:dyDescent="0.25">
      <c r="A32" s="4">
        <v>45591</v>
      </c>
      <c r="B32" s="13">
        <f>MONTH(tbl_lançamentos[[#This Row],[Data]])</f>
        <v>10</v>
      </c>
      <c r="C32" s="3" t="s">
        <v>5</v>
      </c>
      <c r="D32" s="3" t="s">
        <v>10</v>
      </c>
      <c r="E32" s="3" t="s">
        <v>11</v>
      </c>
      <c r="F32" s="5">
        <v>220</v>
      </c>
    </row>
    <row r="33" spans="1:6" ht="12.5" x14ac:dyDescent="0.25">
      <c r="A33" s="4">
        <v>45592</v>
      </c>
      <c r="B33" s="13">
        <f>MONTH(tbl_lançamentos[[#This Row],[Data]])</f>
        <v>10</v>
      </c>
      <c r="C33" s="3" t="s">
        <v>5</v>
      </c>
      <c r="D33" s="3" t="s">
        <v>8</v>
      </c>
      <c r="E33" s="3" t="s">
        <v>21</v>
      </c>
      <c r="F33" s="5">
        <v>150</v>
      </c>
    </row>
    <row r="34" spans="1:6" ht="12.5" x14ac:dyDescent="0.25">
      <c r="A34" s="4">
        <v>45593</v>
      </c>
      <c r="B34" s="13">
        <f>MONTH(tbl_lançamentos[[#This Row],[Data]])</f>
        <v>10</v>
      </c>
      <c r="C34" s="3" t="s">
        <v>5</v>
      </c>
      <c r="D34" s="3" t="s">
        <v>8</v>
      </c>
      <c r="E34" s="3" t="s">
        <v>14</v>
      </c>
      <c r="F34" s="5">
        <v>190</v>
      </c>
    </row>
    <row r="35" spans="1:6" ht="12.5" x14ac:dyDescent="0.25">
      <c r="A35" s="4">
        <v>45594</v>
      </c>
      <c r="B35" s="13">
        <f>MONTH(tbl_lançamentos[[#This Row],[Data]])</f>
        <v>10</v>
      </c>
      <c r="C35" s="3" t="s">
        <v>5</v>
      </c>
      <c r="D35" s="3" t="s">
        <v>6</v>
      </c>
      <c r="E35" s="3" t="s">
        <v>55</v>
      </c>
      <c r="F35" s="5">
        <v>600</v>
      </c>
    </row>
    <row r="36" spans="1:6" ht="12.5" x14ac:dyDescent="0.25">
      <c r="A36" s="4">
        <v>45595</v>
      </c>
      <c r="B36" s="13">
        <f>MONTH(tbl_lançamentos[[#This Row],[Data]])</f>
        <v>10</v>
      </c>
      <c r="C36" s="3" t="s">
        <v>5</v>
      </c>
      <c r="D36" s="3" t="s">
        <v>10</v>
      </c>
      <c r="E36" s="3" t="s">
        <v>20</v>
      </c>
      <c r="F36" s="5">
        <v>120</v>
      </c>
    </row>
    <row r="37" spans="1:6" ht="12.5" x14ac:dyDescent="0.25">
      <c r="A37" s="4">
        <v>45596</v>
      </c>
      <c r="B37" s="13">
        <f>MONTH(tbl_lançamentos[[#This Row],[Data]])</f>
        <v>10</v>
      </c>
      <c r="C37" s="3" t="s">
        <v>5</v>
      </c>
      <c r="D37" s="3" t="s">
        <v>12</v>
      </c>
      <c r="E37" s="3" t="s">
        <v>13</v>
      </c>
      <c r="F37" s="5">
        <v>70</v>
      </c>
    </row>
    <row r="38" spans="1:6" ht="12.5" x14ac:dyDescent="0.25">
      <c r="A38" s="2">
        <v>45597</v>
      </c>
      <c r="B38" s="13">
        <f>MONTH(tbl_lançamentos[[#This Row],[Data]])</f>
        <v>11</v>
      </c>
      <c r="C38" s="3" t="s">
        <v>5</v>
      </c>
      <c r="D38" s="3" t="s">
        <v>6</v>
      </c>
      <c r="E38" s="3" t="s">
        <v>43</v>
      </c>
      <c r="F38" s="5">
        <v>2300</v>
      </c>
    </row>
    <row r="39" spans="1:6" ht="12.5" x14ac:dyDescent="0.25">
      <c r="A39" s="2">
        <v>45598</v>
      </c>
      <c r="B39" s="13">
        <f>MONTH(tbl_lançamentos[[#This Row],[Data]])</f>
        <v>11</v>
      </c>
      <c r="C39" s="3" t="s">
        <v>5</v>
      </c>
      <c r="D39" s="3" t="s">
        <v>8</v>
      </c>
      <c r="E39" s="3" t="s">
        <v>19</v>
      </c>
      <c r="F39" s="5">
        <v>200</v>
      </c>
    </row>
    <row r="40" spans="1:6" ht="12.5" x14ac:dyDescent="0.25">
      <c r="A40" s="2">
        <v>45599</v>
      </c>
      <c r="B40" s="13">
        <f>MONTH(tbl_lançamentos[[#This Row],[Data]])</f>
        <v>11</v>
      </c>
      <c r="C40" s="3" t="s">
        <v>5</v>
      </c>
      <c r="D40" s="3" t="s">
        <v>10</v>
      </c>
      <c r="E40" s="3" t="s">
        <v>11</v>
      </c>
      <c r="F40" s="5">
        <v>170</v>
      </c>
    </row>
    <row r="41" spans="1:6" ht="12.5" x14ac:dyDescent="0.25">
      <c r="A41" s="2">
        <v>45600</v>
      </c>
      <c r="B41" s="13">
        <f>MONTH(tbl_lançamentos[[#This Row],[Data]])</f>
        <v>11</v>
      </c>
      <c r="C41" s="3" t="s">
        <v>5</v>
      </c>
      <c r="D41" s="3" t="s">
        <v>12</v>
      </c>
      <c r="E41" s="3" t="s">
        <v>33</v>
      </c>
      <c r="F41" s="5">
        <v>1200</v>
      </c>
    </row>
    <row r="42" spans="1:6" ht="12.5" x14ac:dyDescent="0.25">
      <c r="A42" s="2">
        <v>45601</v>
      </c>
      <c r="B42" s="13">
        <f>MONTH(tbl_lançamentos[[#This Row],[Data]])</f>
        <v>11</v>
      </c>
      <c r="C42" s="3" t="s">
        <v>5</v>
      </c>
      <c r="D42" s="3" t="s">
        <v>15</v>
      </c>
      <c r="E42" s="3" t="s">
        <v>16</v>
      </c>
      <c r="F42" s="5">
        <v>400</v>
      </c>
    </row>
    <row r="43" spans="1:6" ht="12.5" x14ac:dyDescent="0.25">
      <c r="A43" s="2">
        <v>45602</v>
      </c>
      <c r="B43" s="13">
        <f>MONTH(tbl_lançamentos[[#This Row],[Data]])</f>
        <v>11</v>
      </c>
      <c r="C43" s="3" t="s">
        <v>5</v>
      </c>
      <c r="D43" s="3" t="s">
        <v>17</v>
      </c>
      <c r="E43" s="3" t="s">
        <v>31</v>
      </c>
      <c r="F43" s="5">
        <v>450</v>
      </c>
    </row>
    <row r="44" spans="1:6" ht="12.5" x14ac:dyDescent="0.25">
      <c r="A44" s="2">
        <v>45602</v>
      </c>
      <c r="B44" s="13">
        <f>MONTH(tbl_lançamentos[[#This Row],[Data]])</f>
        <v>11</v>
      </c>
      <c r="C44" s="3" t="s">
        <v>5</v>
      </c>
      <c r="D44" s="3" t="s">
        <v>8</v>
      </c>
      <c r="E44" s="3" t="s">
        <v>14</v>
      </c>
      <c r="F44" s="5">
        <v>130</v>
      </c>
    </row>
    <row r="45" spans="1:6" ht="12.5" x14ac:dyDescent="0.25">
      <c r="A45" s="2">
        <v>45603</v>
      </c>
      <c r="B45" s="13">
        <f>MONTH(tbl_lançamentos[[#This Row],[Data]])</f>
        <v>11</v>
      </c>
      <c r="C45" s="3" t="s">
        <v>5</v>
      </c>
      <c r="D45" s="3" t="s">
        <v>6</v>
      </c>
      <c r="E45" s="3" t="s">
        <v>44</v>
      </c>
      <c r="F45" s="5">
        <v>145</v>
      </c>
    </row>
    <row r="46" spans="1:6" ht="12.5" x14ac:dyDescent="0.25">
      <c r="A46" s="2">
        <v>45604</v>
      </c>
      <c r="B46" s="13">
        <f>MONTH(tbl_lançamentos[[#This Row],[Data]])</f>
        <v>11</v>
      </c>
      <c r="C46" s="3" t="s">
        <v>5</v>
      </c>
      <c r="D46" s="3" t="s">
        <v>10</v>
      </c>
      <c r="E46" s="3" t="s">
        <v>20</v>
      </c>
      <c r="F46" s="5">
        <v>100</v>
      </c>
    </row>
    <row r="47" spans="1:6" ht="12.5" x14ac:dyDescent="0.25">
      <c r="A47" s="2">
        <v>45605</v>
      </c>
      <c r="B47" s="13">
        <f>MONTH(tbl_lançamentos[[#This Row],[Data]])</f>
        <v>11</v>
      </c>
      <c r="C47" s="3" t="s">
        <v>5</v>
      </c>
      <c r="D47" s="3" t="s">
        <v>15</v>
      </c>
      <c r="E47" s="3" t="s">
        <v>28</v>
      </c>
      <c r="F47" s="5">
        <v>270</v>
      </c>
    </row>
    <row r="48" spans="1:6" ht="12.5" x14ac:dyDescent="0.25">
      <c r="A48" s="4">
        <v>45606</v>
      </c>
      <c r="B48" s="13">
        <f>MONTH(tbl_lançamentos[[#This Row],[Data]])</f>
        <v>11</v>
      </c>
      <c r="C48" s="3" t="s">
        <v>22</v>
      </c>
      <c r="D48" s="3" t="s">
        <v>23</v>
      </c>
      <c r="E48" s="3" t="s">
        <v>24</v>
      </c>
      <c r="F48" s="5">
        <v>10000</v>
      </c>
    </row>
    <row r="49" spans="1:6" ht="12.5" x14ac:dyDescent="0.25">
      <c r="A49" s="4">
        <v>45606</v>
      </c>
      <c r="B49" s="13">
        <f>MONTH(tbl_lançamentos[[#This Row],[Data]])</f>
        <v>11</v>
      </c>
      <c r="C49" s="3" t="s">
        <v>22</v>
      </c>
      <c r="D49" s="3" t="s">
        <v>25</v>
      </c>
      <c r="E49" s="3" t="s">
        <v>41</v>
      </c>
      <c r="F49" s="5">
        <v>1200</v>
      </c>
    </row>
    <row r="50" spans="1:6" ht="12.5" x14ac:dyDescent="0.25">
      <c r="A50" s="4">
        <v>45606</v>
      </c>
      <c r="B50" s="13">
        <f>MONTH(tbl_lançamentos[[#This Row],[Data]])</f>
        <v>11</v>
      </c>
      <c r="C50" s="3" t="s">
        <v>22</v>
      </c>
      <c r="D50" s="3" t="s">
        <v>26</v>
      </c>
      <c r="E50" s="3" t="s">
        <v>42</v>
      </c>
      <c r="F50" s="5">
        <v>1000</v>
      </c>
    </row>
    <row r="51" spans="1:6" ht="12.5" x14ac:dyDescent="0.25">
      <c r="A51" s="4">
        <v>45607</v>
      </c>
      <c r="B51" s="13">
        <f>MONTH(tbl_lançamentos[[#This Row],[Data]])</f>
        <v>11</v>
      </c>
      <c r="C51" s="3" t="s">
        <v>5</v>
      </c>
      <c r="D51" s="3" t="s">
        <v>6</v>
      </c>
      <c r="E51" s="3" t="s">
        <v>45</v>
      </c>
      <c r="F51" s="5">
        <v>170</v>
      </c>
    </row>
    <row r="52" spans="1:6" ht="12.5" x14ac:dyDescent="0.25">
      <c r="A52" s="4">
        <v>45608</v>
      </c>
      <c r="B52" s="13">
        <f>MONTH(tbl_lançamentos[[#This Row],[Data]])</f>
        <v>11</v>
      </c>
      <c r="C52" s="3" t="s">
        <v>5</v>
      </c>
      <c r="D52" s="3" t="s">
        <v>8</v>
      </c>
      <c r="E52" s="3" t="s">
        <v>19</v>
      </c>
      <c r="F52" s="5">
        <v>180</v>
      </c>
    </row>
    <row r="53" spans="1:6" ht="12.5" x14ac:dyDescent="0.25">
      <c r="A53" s="4">
        <v>45609</v>
      </c>
      <c r="B53" s="13">
        <f>MONTH(tbl_lançamentos[[#This Row],[Data]])</f>
        <v>11</v>
      </c>
      <c r="C53" s="3" t="s">
        <v>5</v>
      </c>
      <c r="D53" s="3" t="s">
        <v>12</v>
      </c>
      <c r="E53" s="3" t="s">
        <v>53</v>
      </c>
      <c r="F53" s="5">
        <v>280</v>
      </c>
    </row>
    <row r="54" spans="1:6" ht="12.5" x14ac:dyDescent="0.25">
      <c r="A54" s="4">
        <v>45610</v>
      </c>
      <c r="B54" s="13">
        <f>MONTH(tbl_lançamentos[[#This Row],[Data]])</f>
        <v>11</v>
      </c>
      <c r="C54" s="3" t="s">
        <v>5</v>
      </c>
      <c r="D54" s="3" t="s">
        <v>6</v>
      </c>
      <c r="E54" s="3" t="s">
        <v>46</v>
      </c>
      <c r="F54" s="5">
        <v>350</v>
      </c>
    </row>
    <row r="55" spans="1:6" ht="12.5" x14ac:dyDescent="0.25">
      <c r="A55" s="4">
        <v>45611</v>
      </c>
      <c r="B55" s="13">
        <f>MONTH(tbl_lançamentos[[#This Row],[Data]])</f>
        <v>11</v>
      </c>
      <c r="C55" s="3" t="s">
        <v>5</v>
      </c>
      <c r="D55" s="3" t="s">
        <v>10</v>
      </c>
      <c r="E55" s="3" t="s">
        <v>11</v>
      </c>
      <c r="F55" s="5">
        <v>230</v>
      </c>
    </row>
    <row r="56" spans="1:6" ht="12.5" x14ac:dyDescent="0.25">
      <c r="A56" s="4">
        <v>45612</v>
      </c>
      <c r="B56" s="13">
        <f>MONTH(tbl_lançamentos[[#This Row],[Data]])</f>
        <v>11</v>
      </c>
      <c r="C56" s="3" t="s">
        <v>5</v>
      </c>
      <c r="D56" s="3" t="s">
        <v>17</v>
      </c>
      <c r="E56" s="3" t="s">
        <v>58</v>
      </c>
      <c r="F56" s="5">
        <v>300</v>
      </c>
    </row>
    <row r="57" spans="1:6" ht="12.5" x14ac:dyDescent="0.25">
      <c r="A57" s="4">
        <v>45613</v>
      </c>
      <c r="B57" s="13">
        <f>MONTH(tbl_lançamentos[[#This Row],[Data]])</f>
        <v>11</v>
      </c>
      <c r="C57" s="3" t="s">
        <v>5</v>
      </c>
      <c r="D57" s="3" t="s">
        <v>8</v>
      </c>
      <c r="E57" s="3" t="s">
        <v>34</v>
      </c>
      <c r="F57" s="5">
        <v>200</v>
      </c>
    </row>
    <row r="58" spans="1:6" ht="12.5" x14ac:dyDescent="0.25">
      <c r="A58" s="4">
        <v>45614</v>
      </c>
      <c r="B58" s="13">
        <f>MONTH(tbl_lançamentos[[#This Row],[Data]])</f>
        <v>11</v>
      </c>
      <c r="C58" s="3" t="s">
        <v>5</v>
      </c>
      <c r="D58" s="3" t="s">
        <v>6</v>
      </c>
      <c r="E58" s="3" t="s">
        <v>55</v>
      </c>
      <c r="F58" s="5">
        <v>600</v>
      </c>
    </row>
    <row r="59" spans="1:6" ht="12.5" x14ac:dyDescent="0.25">
      <c r="A59" s="4">
        <v>45615</v>
      </c>
      <c r="B59" s="13">
        <f>MONTH(tbl_lançamentos[[#This Row],[Data]])</f>
        <v>11</v>
      </c>
      <c r="C59" s="3" t="s">
        <v>5</v>
      </c>
      <c r="D59" s="3" t="s">
        <v>8</v>
      </c>
      <c r="E59" s="3" t="s">
        <v>9</v>
      </c>
      <c r="F59" s="5">
        <v>210</v>
      </c>
    </row>
    <row r="60" spans="1:6" ht="12.5" x14ac:dyDescent="0.25">
      <c r="A60" s="4">
        <v>45616</v>
      </c>
      <c r="B60" s="13">
        <f>MONTH(tbl_lançamentos[[#This Row],[Data]])</f>
        <v>11</v>
      </c>
      <c r="C60" s="3" t="s">
        <v>5</v>
      </c>
      <c r="D60" s="3" t="s">
        <v>10</v>
      </c>
      <c r="E60" s="3" t="s">
        <v>20</v>
      </c>
      <c r="F60" s="5">
        <v>100</v>
      </c>
    </row>
    <row r="61" spans="1:6" ht="12.5" x14ac:dyDescent="0.25">
      <c r="A61" s="4">
        <v>45617</v>
      </c>
      <c r="B61" s="13">
        <f>MONTH(tbl_lançamentos[[#This Row],[Data]])</f>
        <v>11</v>
      </c>
      <c r="C61" s="3" t="s">
        <v>5</v>
      </c>
      <c r="D61" s="3" t="s">
        <v>12</v>
      </c>
      <c r="E61" s="3" t="s">
        <v>54</v>
      </c>
      <c r="F61" s="5">
        <v>40</v>
      </c>
    </row>
    <row r="62" spans="1:6" ht="12.5" x14ac:dyDescent="0.25">
      <c r="A62" s="4">
        <v>45618</v>
      </c>
      <c r="B62" s="13">
        <f>MONTH(tbl_lançamentos[[#This Row],[Data]])</f>
        <v>11</v>
      </c>
      <c r="C62" s="3" t="s">
        <v>5</v>
      </c>
      <c r="D62" s="3" t="s">
        <v>8</v>
      </c>
      <c r="E62" s="3" t="s">
        <v>14</v>
      </c>
      <c r="F62" s="5">
        <v>140</v>
      </c>
    </row>
    <row r="63" spans="1:6" ht="12.5" x14ac:dyDescent="0.25">
      <c r="A63" s="4">
        <v>45619</v>
      </c>
      <c r="B63" s="13">
        <f>MONTH(tbl_lançamentos[[#This Row],[Data]])</f>
        <v>11</v>
      </c>
      <c r="C63" s="3" t="s">
        <v>5</v>
      </c>
      <c r="D63" s="3" t="s">
        <v>6</v>
      </c>
      <c r="E63" s="3" t="s">
        <v>7</v>
      </c>
      <c r="F63" s="5">
        <v>280</v>
      </c>
    </row>
    <row r="64" spans="1:6" ht="12.5" x14ac:dyDescent="0.25">
      <c r="A64" s="4">
        <v>45620</v>
      </c>
      <c r="B64" s="13">
        <f>MONTH(tbl_lançamentos[[#This Row],[Data]])</f>
        <v>11</v>
      </c>
      <c r="C64" s="3" t="s">
        <v>5</v>
      </c>
      <c r="D64" s="3" t="s">
        <v>10</v>
      </c>
      <c r="E64" s="3" t="s">
        <v>11</v>
      </c>
      <c r="F64" s="5">
        <v>200</v>
      </c>
    </row>
    <row r="65" spans="1:6" ht="12.5" x14ac:dyDescent="0.25">
      <c r="A65" s="4">
        <v>45621</v>
      </c>
      <c r="B65" s="13">
        <f>MONTH(tbl_lançamentos[[#This Row],[Data]])</f>
        <v>11</v>
      </c>
      <c r="C65" s="3" t="s">
        <v>5</v>
      </c>
      <c r="D65" s="3" t="s">
        <v>8</v>
      </c>
      <c r="E65" s="3" t="s">
        <v>35</v>
      </c>
      <c r="F65" s="5">
        <v>70</v>
      </c>
    </row>
    <row r="66" spans="1:6" ht="12.5" x14ac:dyDescent="0.25">
      <c r="A66" s="4">
        <v>45622</v>
      </c>
      <c r="B66" s="13">
        <f>MONTH(tbl_lançamentos[[#This Row],[Data]])</f>
        <v>11</v>
      </c>
      <c r="C66" s="3" t="s">
        <v>5</v>
      </c>
      <c r="D66" s="3" t="s">
        <v>8</v>
      </c>
      <c r="E66" s="3" t="s">
        <v>19</v>
      </c>
      <c r="F66" s="5">
        <v>230</v>
      </c>
    </row>
    <row r="67" spans="1:6" ht="12.5" x14ac:dyDescent="0.25">
      <c r="A67" s="4">
        <v>45623</v>
      </c>
      <c r="B67" s="13">
        <f>MONTH(tbl_lançamentos[[#This Row],[Data]])</f>
        <v>11</v>
      </c>
      <c r="C67" s="3" t="s">
        <v>5</v>
      </c>
      <c r="D67" s="3" t="s">
        <v>12</v>
      </c>
      <c r="E67" s="3" t="s">
        <v>21</v>
      </c>
      <c r="F67" s="5">
        <v>160</v>
      </c>
    </row>
    <row r="68" spans="1:6" ht="12.5" x14ac:dyDescent="0.25">
      <c r="A68" s="4">
        <v>45624</v>
      </c>
      <c r="B68" s="13">
        <f>MONTH(tbl_lançamentos[[#This Row],[Data]])</f>
        <v>11</v>
      </c>
      <c r="C68" s="3" t="s">
        <v>5</v>
      </c>
      <c r="D68" s="3" t="s">
        <v>10</v>
      </c>
      <c r="E68" s="3" t="s">
        <v>29</v>
      </c>
      <c r="F68" s="5">
        <v>350</v>
      </c>
    </row>
    <row r="69" spans="1:6" ht="12.5" x14ac:dyDescent="0.25">
      <c r="A69" s="4">
        <v>45625</v>
      </c>
      <c r="B69" s="13">
        <f>MONTH(tbl_lançamentos[[#This Row],[Data]])</f>
        <v>11</v>
      </c>
      <c r="C69" s="3" t="s">
        <v>5</v>
      </c>
      <c r="D69" s="3" t="s">
        <v>8</v>
      </c>
      <c r="E69" s="3" t="s">
        <v>9</v>
      </c>
      <c r="F69" s="5">
        <v>180</v>
      </c>
    </row>
    <row r="70" spans="1:6" ht="12.5" x14ac:dyDescent="0.25">
      <c r="A70" s="4">
        <v>45626</v>
      </c>
      <c r="B70" s="13">
        <f>MONTH(tbl_lançamentos[[#This Row],[Data]])</f>
        <v>11</v>
      </c>
      <c r="C70" s="3" t="s">
        <v>5</v>
      </c>
      <c r="D70" s="3" t="s">
        <v>6</v>
      </c>
      <c r="E70" s="3" t="s">
        <v>36</v>
      </c>
      <c r="F70" s="5">
        <v>250</v>
      </c>
    </row>
    <row r="71" spans="1:6" ht="12.5" x14ac:dyDescent="0.25">
      <c r="A71" s="2">
        <v>45627</v>
      </c>
      <c r="B71" s="13">
        <f>MONTH(tbl_lançamentos[[#This Row],[Data]])</f>
        <v>12</v>
      </c>
      <c r="C71" s="3" t="s">
        <v>5</v>
      </c>
      <c r="D71" s="3" t="s">
        <v>6</v>
      </c>
      <c r="E71" s="3" t="s">
        <v>43</v>
      </c>
      <c r="F71" s="5">
        <v>2300</v>
      </c>
    </row>
    <row r="72" spans="1:6" ht="12.5" x14ac:dyDescent="0.25">
      <c r="A72" s="2">
        <v>45628</v>
      </c>
      <c r="B72" s="13">
        <f>MONTH(tbl_lançamentos[[#This Row],[Data]])</f>
        <v>12</v>
      </c>
      <c r="C72" s="3" t="s">
        <v>5</v>
      </c>
      <c r="D72" s="3" t="s">
        <v>8</v>
      </c>
      <c r="E72" s="3" t="s">
        <v>19</v>
      </c>
      <c r="F72" s="5">
        <v>250</v>
      </c>
    </row>
    <row r="73" spans="1:6" ht="12.5" x14ac:dyDescent="0.25">
      <c r="A73" s="2">
        <v>45629</v>
      </c>
      <c r="B73" s="13">
        <f>MONTH(tbl_lançamentos[[#This Row],[Data]])</f>
        <v>12</v>
      </c>
      <c r="C73" s="3" t="s">
        <v>5</v>
      </c>
      <c r="D73" s="3" t="s">
        <v>10</v>
      </c>
      <c r="E73" s="3" t="s">
        <v>11</v>
      </c>
      <c r="F73" s="5">
        <v>170</v>
      </c>
    </row>
    <row r="74" spans="1:6" ht="12.5" x14ac:dyDescent="0.25">
      <c r="A74" s="2">
        <v>45630</v>
      </c>
      <c r="B74" s="13">
        <f>MONTH(tbl_lançamentos[[#This Row],[Data]])</f>
        <v>12</v>
      </c>
      <c r="C74" s="3" t="s">
        <v>5</v>
      </c>
      <c r="D74" s="3" t="s">
        <v>12</v>
      </c>
      <c r="E74" s="3" t="s">
        <v>33</v>
      </c>
      <c r="F74" s="5">
        <v>600</v>
      </c>
    </row>
    <row r="75" spans="1:6" ht="12.5" x14ac:dyDescent="0.25">
      <c r="A75" s="2">
        <v>45631</v>
      </c>
      <c r="B75" s="13">
        <f>MONTH(tbl_lançamentos[[#This Row],[Data]])</f>
        <v>12</v>
      </c>
      <c r="C75" s="3" t="s">
        <v>5</v>
      </c>
      <c r="D75" s="3" t="s">
        <v>15</v>
      </c>
      <c r="E75" s="3" t="s">
        <v>16</v>
      </c>
      <c r="F75" s="5">
        <v>400</v>
      </c>
    </row>
    <row r="76" spans="1:6" ht="12.5" x14ac:dyDescent="0.25">
      <c r="A76" s="2">
        <v>45632</v>
      </c>
      <c r="B76" s="13">
        <f>MONTH(tbl_lançamentos[[#This Row],[Data]])</f>
        <v>12</v>
      </c>
      <c r="C76" s="3" t="s">
        <v>5</v>
      </c>
      <c r="D76" s="3" t="s">
        <v>17</v>
      </c>
      <c r="E76" s="3" t="s">
        <v>31</v>
      </c>
      <c r="F76" s="5">
        <v>450</v>
      </c>
    </row>
    <row r="77" spans="1:6" ht="12.5" x14ac:dyDescent="0.25">
      <c r="A77" s="2">
        <v>45632</v>
      </c>
      <c r="B77" s="13">
        <f>MONTH(tbl_lançamentos[[#This Row],[Data]])</f>
        <v>12</v>
      </c>
      <c r="C77" s="3" t="s">
        <v>5</v>
      </c>
      <c r="D77" s="3" t="s">
        <v>8</v>
      </c>
      <c r="E77" s="3" t="s">
        <v>14</v>
      </c>
      <c r="F77" s="5">
        <v>140</v>
      </c>
    </row>
    <row r="78" spans="1:6" ht="12.5" x14ac:dyDescent="0.25">
      <c r="A78" s="2">
        <v>45633</v>
      </c>
      <c r="B78" s="13">
        <f>MONTH(tbl_lançamentos[[#This Row],[Data]])</f>
        <v>12</v>
      </c>
      <c r="C78" s="3" t="s">
        <v>5</v>
      </c>
      <c r="D78" s="3" t="s">
        <v>6</v>
      </c>
      <c r="E78" s="3" t="s">
        <v>44</v>
      </c>
      <c r="F78" s="5">
        <v>100</v>
      </c>
    </row>
    <row r="79" spans="1:6" ht="12.5" x14ac:dyDescent="0.25">
      <c r="A79" s="2">
        <v>45634</v>
      </c>
      <c r="B79" s="13">
        <f>MONTH(tbl_lançamentos[[#This Row],[Data]])</f>
        <v>12</v>
      </c>
      <c r="C79" s="3" t="s">
        <v>5</v>
      </c>
      <c r="D79" s="3" t="s">
        <v>10</v>
      </c>
      <c r="E79" s="3" t="s">
        <v>20</v>
      </c>
      <c r="F79" s="5">
        <v>120</v>
      </c>
    </row>
    <row r="80" spans="1:6" ht="12.5" x14ac:dyDescent="0.25">
      <c r="A80" s="2">
        <v>45635</v>
      </c>
      <c r="B80" s="13">
        <f>MONTH(tbl_lançamentos[[#This Row],[Data]])</f>
        <v>12</v>
      </c>
      <c r="C80" s="3" t="s">
        <v>5</v>
      </c>
      <c r="D80" s="3" t="s">
        <v>15</v>
      </c>
      <c r="E80" s="3" t="s">
        <v>28</v>
      </c>
      <c r="F80" s="5">
        <v>270</v>
      </c>
    </row>
    <row r="81" spans="1:6" ht="12.5" x14ac:dyDescent="0.25">
      <c r="A81" s="4">
        <v>45636</v>
      </c>
      <c r="B81" s="13">
        <f>MONTH(tbl_lançamentos[[#This Row],[Data]])</f>
        <v>12</v>
      </c>
      <c r="C81" s="3" t="s">
        <v>22</v>
      </c>
      <c r="D81" s="3" t="s">
        <v>23</v>
      </c>
      <c r="E81" s="3" t="s">
        <v>24</v>
      </c>
      <c r="F81" s="5">
        <v>10000</v>
      </c>
    </row>
    <row r="82" spans="1:6" ht="12.5" x14ac:dyDescent="0.25">
      <c r="A82" s="4">
        <v>45636</v>
      </c>
      <c r="B82" s="13">
        <f>MONTH(tbl_lançamentos[[#This Row],[Data]])</f>
        <v>12</v>
      </c>
      <c r="C82" s="3" t="s">
        <v>22</v>
      </c>
      <c r="D82" s="3" t="s">
        <v>25</v>
      </c>
      <c r="E82" s="3" t="s">
        <v>41</v>
      </c>
      <c r="F82" s="5">
        <v>600</v>
      </c>
    </row>
    <row r="83" spans="1:6" ht="12.5" x14ac:dyDescent="0.25">
      <c r="A83" s="4">
        <v>45636</v>
      </c>
      <c r="B83" s="13">
        <f>MONTH(tbl_lançamentos[[#This Row],[Data]])</f>
        <v>12</v>
      </c>
      <c r="C83" s="3" t="s">
        <v>22</v>
      </c>
      <c r="D83" s="3" t="s">
        <v>26</v>
      </c>
      <c r="E83" s="3" t="s">
        <v>42</v>
      </c>
      <c r="F83" s="5">
        <v>1200</v>
      </c>
    </row>
    <row r="84" spans="1:6" ht="12.5" x14ac:dyDescent="0.25">
      <c r="A84" s="4">
        <v>45637</v>
      </c>
      <c r="B84" s="13">
        <f>MONTH(tbl_lançamentos[[#This Row],[Data]])</f>
        <v>12</v>
      </c>
      <c r="C84" s="3" t="s">
        <v>5</v>
      </c>
      <c r="D84" s="3" t="s">
        <v>6</v>
      </c>
      <c r="E84" s="3" t="s">
        <v>45</v>
      </c>
      <c r="F84" s="5">
        <v>130</v>
      </c>
    </row>
    <row r="85" spans="1:6" ht="12.5" x14ac:dyDescent="0.25">
      <c r="A85" s="4">
        <v>45638</v>
      </c>
      <c r="B85" s="13">
        <f>MONTH(tbl_lançamentos[[#This Row],[Data]])</f>
        <v>12</v>
      </c>
      <c r="C85" s="3" t="s">
        <v>5</v>
      </c>
      <c r="D85" s="3" t="s">
        <v>8</v>
      </c>
      <c r="E85" s="3" t="s">
        <v>9</v>
      </c>
      <c r="F85" s="5">
        <v>190</v>
      </c>
    </row>
    <row r="86" spans="1:6" ht="12.5" x14ac:dyDescent="0.25">
      <c r="A86" s="4">
        <v>45639</v>
      </c>
      <c r="B86" s="13">
        <f>MONTH(tbl_lançamentos[[#This Row],[Data]])</f>
        <v>12</v>
      </c>
      <c r="C86" s="3" t="s">
        <v>5</v>
      </c>
      <c r="D86" s="3" t="s">
        <v>10</v>
      </c>
      <c r="E86" s="3" t="s">
        <v>11</v>
      </c>
      <c r="F86" s="5">
        <v>220</v>
      </c>
    </row>
    <row r="87" spans="1:6" ht="12.5" x14ac:dyDescent="0.25">
      <c r="A87" s="4">
        <v>45640</v>
      </c>
      <c r="B87" s="13">
        <f>MONTH(tbl_lançamentos[[#This Row],[Data]])</f>
        <v>12</v>
      </c>
      <c r="C87" s="3" t="s">
        <v>5</v>
      </c>
      <c r="D87" s="3" t="s">
        <v>12</v>
      </c>
      <c r="E87" s="3" t="s">
        <v>13</v>
      </c>
      <c r="F87" s="5">
        <v>100</v>
      </c>
    </row>
    <row r="88" spans="1:6" ht="12.5" x14ac:dyDescent="0.25">
      <c r="A88" s="4">
        <v>45641</v>
      </c>
      <c r="B88" s="13">
        <f>MONTH(tbl_lançamentos[[#This Row],[Data]])</f>
        <v>12</v>
      </c>
      <c r="C88" s="3" t="s">
        <v>5</v>
      </c>
      <c r="D88" s="3" t="s">
        <v>6</v>
      </c>
      <c r="E88" s="3" t="s">
        <v>46</v>
      </c>
      <c r="F88" s="5">
        <v>350</v>
      </c>
    </row>
    <row r="89" spans="1:6" ht="12.5" x14ac:dyDescent="0.25">
      <c r="A89" s="4">
        <v>45642</v>
      </c>
      <c r="B89" s="13">
        <f>MONTH(tbl_lançamentos[[#This Row],[Data]])</f>
        <v>12</v>
      </c>
      <c r="C89" s="3" t="s">
        <v>5</v>
      </c>
      <c r="D89" s="3" t="s">
        <v>17</v>
      </c>
      <c r="E89" s="3" t="s">
        <v>18</v>
      </c>
      <c r="F89" s="5">
        <v>110</v>
      </c>
    </row>
    <row r="90" spans="1:6" ht="12.5" x14ac:dyDescent="0.25">
      <c r="A90" s="4">
        <v>45643</v>
      </c>
      <c r="B90" s="13">
        <f>MONTH(tbl_lançamentos[[#This Row],[Data]])</f>
        <v>12</v>
      </c>
      <c r="C90" s="3" t="s">
        <v>5</v>
      </c>
      <c r="D90" s="3" t="s">
        <v>6</v>
      </c>
      <c r="E90" s="3" t="s">
        <v>47</v>
      </c>
      <c r="F90" s="5">
        <v>130</v>
      </c>
    </row>
    <row r="91" spans="1:6" ht="12.5" x14ac:dyDescent="0.25">
      <c r="A91" s="4">
        <v>45644</v>
      </c>
      <c r="B91" s="13">
        <f>MONTH(tbl_lançamentos[[#This Row],[Data]])</f>
        <v>12</v>
      </c>
      <c r="C91" s="3" t="s">
        <v>5</v>
      </c>
      <c r="D91" s="3" t="s">
        <v>10</v>
      </c>
      <c r="E91" s="3" t="s">
        <v>11</v>
      </c>
      <c r="F91" s="5">
        <v>190</v>
      </c>
    </row>
    <row r="92" spans="1:6" ht="12.5" x14ac:dyDescent="0.25">
      <c r="A92" s="4">
        <v>45645</v>
      </c>
      <c r="B92" s="13">
        <f>MONTH(tbl_lançamentos[[#This Row],[Data]])</f>
        <v>12</v>
      </c>
      <c r="C92" s="3" t="s">
        <v>5</v>
      </c>
      <c r="D92" s="3" t="s">
        <v>8</v>
      </c>
      <c r="E92" s="3" t="s">
        <v>19</v>
      </c>
      <c r="F92" s="5">
        <v>220</v>
      </c>
    </row>
    <row r="93" spans="1:6" ht="12.5" x14ac:dyDescent="0.25">
      <c r="A93" s="4">
        <v>45646</v>
      </c>
      <c r="B93" s="13">
        <f>MONTH(tbl_lançamentos[[#This Row],[Data]])</f>
        <v>12</v>
      </c>
      <c r="C93" s="3" t="s">
        <v>5</v>
      </c>
      <c r="D93" s="3" t="s">
        <v>15</v>
      </c>
      <c r="E93" s="3" t="s">
        <v>37</v>
      </c>
      <c r="F93" s="5">
        <v>330</v>
      </c>
    </row>
    <row r="94" spans="1:6" ht="12.5" x14ac:dyDescent="0.25">
      <c r="A94" s="4">
        <v>45647</v>
      </c>
      <c r="B94" s="13">
        <f>MONTH(tbl_lançamentos[[#This Row],[Data]])</f>
        <v>12</v>
      </c>
      <c r="C94" s="3" t="s">
        <v>5</v>
      </c>
      <c r="D94" s="3" t="s">
        <v>6</v>
      </c>
      <c r="E94" s="3" t="s">
        <v>27</v>
      </c>
      <c r="F94" s="5">
        <v>260</v>
      </c>
    </row>
    <row r="95" spans="1:6" ht="12.5" x14ac:dyDescent="0.25">
      <c r="A95" s="4">
        <v>45648</v>
      </c>
      <c r="B95" s="13">
        <f>MONTH(tbl_lançamentos[[#This Row],[Data]])</f>
        <v>12</v>
      </c>
      <c r="C95" s="3" t="s">
        <v>5</v>
      </c>
      <c r="D95" s="3" t="s">
        <v>12</v>
      </c>
      <c r="E95" s="3" t="s">
        <v>54</v>
      </c>
      <c r="F95" s="5">
        <v>40</v>
      </c>
    </row>
    <row r="96" spans="1:6" ht="12.5" x14ac:dyDescent="0.25">
      <c r="A96" s="4">
        <v>45649</v>
      </c>
      <c r="B96" s="13">
        <f>MONTH(tbl_lançamentos[[#This Row],[Data]])</f>
        <v>12</v>
      </c>
      <c r="C96" s="3" t="s">
        <v>5</v>
      </c>
      <c r="D96" s="3" t="s">
        <v>15</v>
      </c>
      <c r="E96" s="3" t="s">
        <v>38</v>
      </c>
      <c r="F96" s="5">
        <v>190</v>
      </c>
    </row>
    <row r="97" spans="1:6" ht="12.5" x14ac:dyDescent="0.25">
      <c r="A97" s="4">
        <v>45650</v>
      </c>
      <c r="B97" s="13">
        <f>MONTH(tbl_lançamentos[[#This Row],[Data]])</f>
        <v>12</v>
      </c>
      <c r="C97" s="3" t="s">
        <v>5</v>
      </c>
      <c r="D97" s="3" t="s">
        <v>8</v>
      </c>
      <c r="E97" s="3" t="s">
        <v>14</v>
      </c>
      <c r="F97" s="5">
        <v>150</v>
      </c>
    </row>
    <row r="98" spans="1:6" ht="12.5" x14ac:dyDescent="0.25">
      <c r="A98" s="4">
        <v>45651</v>
      </c>
      <c r="B98" s="13">
        <f>MONTH(tbl_lançamentos[[#This Row],[Data]])</f>
        <v>12</v>
      </c>
      <c r="C98" s="3" t="s">
        <v>5</v>
      </c>
      <c r="D98" s="3" t="s">
        <v>6</v>
      </c>
      <c r="E98" s="3" t="s">
        <v>55</v>
      </c>
      <c r="F98" s="5">
        <v>600</v>
      </c>
    </row>
    <row r="99" spans="1:6" ht="12.5" x14ac:dyDescent="0.25">
      <c r="A99" s="4">
        <v>45652</v>
      </c>
      <c r="B99" s="13">
        <f>MONTH(tbl_lançamentos[[#This Row],[Data]])</f>
        <v>12</v>
      </c>
      <c r="C99" s="3" t="s">
        <v>5</v>
      </c>
      <c r="D99" s="3" t="s">
        <v>15</v>
      </c>
      <c r="E99" s="3" t="s">
        <v>39</v>
      </c>
      <c r="F99" s="5">
        <v>230</v>
      </c>
    </row>
    <row r="100" spans="1:6" ht="12.5" x14ac:dyDescent="0.25">
      <c r="A100" s="4">
        <v>45653</v>
      </c>
      <c r="B100" s="13">
        <f>MONTH(tbl_lançamentos[[#This Row],[Data]])</f>
        <v>12</v>
      </c>
      <c r="C100" s="3" t="s">
        <v>5</v>
      </c>
      <c r="D100" s="3" t="s">
        <v>8</v>
      </c>
      <c r="E100" s="3" t="s">
        <v>19</v>
      </c>
      <c r="F100" s="5">
        <v>200</v>
      </c>
    </row>
    <row r="101" spans="1:6" ht="12.5" x14ac:dyDescent="0.25">
      <c r="A101" s="4">
        <v>45654</v>
      </c>
      <c r="B101" s="13">
        <f>MONTH(tbl_lançamentos[[#This Row],[Data]])</f>
        <v>12</v>
      </c>
      <c r="C101" s="3" t="s">
        <v>5</v>
      </c>
      <c r="D101" s="3" t="s">
        <v>6</v>
      </c>
      <c r="E101" s="3" t="s">
        <v>48</v>
      </c>
      <c r="F101" s="5">
        <v>120</v>
      </c>
    </row>
    <row r="102" spans="1:6" ht="12.5" x14ac:dyDescent="0.25">
      <c r="A102" s="4">
        <v>45655</v>
      </c>
      <c r="B102" s="13">
        <f>MONTH(tbl_lançamentos[[#This Row],[Data]])</f>
        <v>12</v>
      </c>
      <c r="C102" s="3" t="s">
        <v>5</v>
      </c>
      <c r="D102" s="3" t="s">
        <v>12</v>
      </c>
      <c r="E102" s="3" t="s">
        <v>33</v>
      </c>
      <c r="F102" s="5">
        <v>1000</v>
      </c>
    </row>
    <row r="103" spans="1:6" ht="12.5" x14ac:dyDescent="0.25">
      <c r="A103" s="4">
        <v>45656</v>
      </c>
      <c r="B103" s="13">
        <f>MONTH(tbl_lançamentos[[#This Row],[Data]])</f>
        <v>12</v>
      </c>
      <c r="C103" s="3" t="s">
        <v>5</v>
      </c>
      <c r="D103" s="3" t="s">
        <v>10</v>
      </c>
      <c r="E103" s="3" t="s">
        <v>11</v>
      </c>
      <c r="F103" s="5">
        <v>200</v>
      </c>
    </row>
    <row r="104" spans="1:6" ht="12.5" x14ac:dyDescent="0.25">
      <c r="A104" s="4">
        <v>45657</v>
      </c>
      <c r="B104" s="13">
        <f>MONTH(tbl_lançamentos[[#This Row],[Data]])</f>
        <v>12</v>
      </c>
      <c r="C104" s="3" t="s">
        <v>5</v>
      </c>
      <c r="D104" s="3" t="s">
        <v>6</v>
      </c>
      <c r="E104" s="3" t="s">
        <v>40</v>
      </c>
      <c r="F104" s="5">
        <v>250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2BB5-E28F-4F48-87AF-62ED058B287D}">
  <sheetPr>
    <tabColor theme="4"/>
  </sheetPr>
  <dimension ref="B1:C26"/>
  <sheetViews>
    <sheetView topLeftCell="A2" workbookViewId="0">
      <selection activeCell="B23" sqref="B23"/>
    </sheetView>
  </sheetViews>
  <sheetFormatPr defaultRowHeight="12.5" x14ac:dyDescent="0.25"/>
  <cols>
    <col min="2" max="2" width="17.90625" bestFit="1" customWidth="1"/>
    <col min="3" max="3" width="13.36328125" bestFit="1" customWidth="1"/>
  </cols>
  <sheetData>
    <row r="1" spans="2:3" x14ac:dyDescent="0.25">
      <c r="B1" s="6" t="s">
        <v>1</v>
      </c>
      <c r="C1" t="s">
        <v>5</v>
      </c>
    </row>
    <row r="3" spans="2:3" x14ac:dyDescent="0.25">
      <c r="B3" s="6" t="s">
        <v>50</v>
      </c>
      <c r="C3" t="s">
        <v>52</v>
      </c>
    </row>
    <row r="4" spans="2:3" x14ac:dyDescent="0.25">
      <c r="B4" s="7" t="s">
        <v>8</v>
      </c>
      <c r="C4" s="11">
        <v>4870</v>
      </c>
    </row>
    <row r="5" spans="2:3" x14ac:dyDescent="0.25">
      <c r="B5" s="7" t="s">
        <v>12</v>
      </c>
      <c r="C5" s="11">
        <v>4010</v>
      </c>
    </row>
    <row r="6" spans="2:3" x14ac:dyDescent="0.25">
      <c r="B6" s="7" t="s">
        <v>17</v>
      </c>
      <c r="C6" s="11">
        <v>2190</v>
      </c>
    </row>
    <row r="7" spans="2:3" x14ac:dyDescent="0.25">
      <c r="B7" s="7" t="s">
        <v>6</v>
      </c>
      <c r="C7" s="11">
        <v>12535</v>
      </c>
    </row>
    <row r="8" spans="2:3" x14ac:dyDescent="0.25">
      <c r="B8" s="7" t="s">
        <v>15</v>
      </c>
      <c r="C8" s="11">
        <v>2760</v>
      </c>
    </row>
    <row r="9" spans="2:3" x14ac:dyDescent="0.25">
      <c r="B9" s="7" t="s">
        <v>10</v>
      </c>
      <c r="C9" s="11">
        <v>3080</v>
      </c>
    </row>
    <row r="10" spans="2:3" x14ac:dyDescent="0.25">
      <c r="B10" s="7" t="s">
        <v>51</v>
      </c>
      <c r="C10" s="11">
        <v>29445</v>
      </c>
    </row>
    <row r="20" spans="2:3" x14ac:dyDescent="0.25">
      <c r="B20" s="6" t="s">
        <v>1</v>
      </c>
      <c r="C20" t="s">
        <v>22</v>
      </c>
    </row>
    <row r="22" spans="2:3" x14ac:dyDescent="0.25">
      <c r="B22" s="6" t="s">
        <v>50</v>
      </c>
      <c r="C22" t="s">
        <v>52</v>
      </c>
    </row>
    <row r="23" spans="2:3" x14ac:dyDescent="0.25">
      <c r="B23" s="7" t="s">
        <v>26</v>
      </c>
      <c r="C23" s="11">
        <v>3000</v>
      </c>
    </row>
    <row r="24" spans="2:3" x14ac:dyDescent="0.25">
      <c r="B24" s="7" t="s">
        <v>23</v>
      </c>
      <c r="C24" s="11">
        <v>30000</v>
      </c>
    </row>
    <row r="25" spans="2:3" x14ac:dyDescent="0.25">
      <c r="B25" s="7" t="s">
        <v>25</v>
      </c>
      <c r="C25" s="11">
        <v>2650</v>
      </c>
    </row>
    <row r="26" spans="2:3" x14ac:dyDescent="0.25">
      <c r="B26" s="7" t="s">
        <v>51</v>
      </c>
      <c r="C26" s="11">
        <v>35650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8EDE-E51E-4BA5-B000-3D9411AEC9E6}">
  <sheetPr>
    <tabColor theme="4"/>
  </sheetPr>
  <dimension ref="C1:D21"/>
  <sheetViews>
    <sheetView workbookViewId="0">
      <selection activeCell="M22" sqref="M22"/>
    </sheetView>
  </sheetViews>
  <sheetFormatPr defaultRowHeight="12.5" x14ac:dyDescent="0.25"/>
  <cols>
    <col min="3" max="3" width="19.453125" customWidth="1"/>
    <col min="4" max="4" width="13.08984375" bestFit="1" customWidth="1"/>
  </cols>
  <sheetData>
    <row r="1" spans="3:4" s="14" customFormat="1" ht="41" customHeight="1" x14ac:dyDescent="0.25"/>
    <row r="3" spans="3:4" x14ac:dyDescent="0.25">
      <c r="C3" s="17" t="s">
        <v>62</v>
      </c>
      <c r="D3" s="18">
        <f>SUM(Tabela2[Depósito])</f>
        <v>4554</v>
      </c>
    </row>
    <row r="4" spans="3:4" x14ac:dyDescent="0.25">
      <c r="C4" s="17" t="s">
        <v>63</v>
      </c>
      <c r="D4" s="19">
        <v>10000</v>
      </c>
    </row>
    <row r="6" spans="3:4" x14ac:dyDescent="0.25">
      <c r="C6" s="15" t="s">
        <v>61</v>
      </c>
      <c r="D6" s="15" t="s">
        <v>60</v>
      </c>
    </row>
    <row r="7" spans="3:4" x14ac:dyDescent="0.25">
      <c r="C7" s="16">
        <v>45568</v>
      </c>
      <c r="D7" s="10">
        <v>280</v>
      </c>
    </row>
    <row r="8" spans="3:4" x14ac:dyDescent="0.25">
      <c r="C8" s="16">
        <f>C7+6</f>
        <v>45574</v>
      </c>
      <c r="D8" s="10">
        <v>264</v>
      </c>
    </row>
    <row r="9" spans="3:4" x14ac:dyDescent="0.25">
      <c r="C9" s="16">
        <f>C8+6</f>
        <v>45580</v>
      </c>
      <c r="D9" s="10">
        <v>280</v>
      </c>
    </row>
    <row r="10" spans="3:4" x14ac:dyDescent="0.25">
      <c r="C10" s="16">
        <f t="shared" ref="C10:C21" si="0">C9+6</f>
        <v>45586</v>
      </c>
      <c r="D10" s="10">
        <v>284</v>
      </c>
    </row>
    <row r="11" spans="3:4" x14ac:dyDescent="0.25">
      <c r="C11" s="16">
        <f t="shared" si="0"/>
        <v>45592</v>
      </c>
      <c r="D11" s="10">
        <v>219</v>
      </c>
    </row>
    <row r="12" spans="3:4" x14ac:dyDescent="0.25">
      <c r="C12" s="16">
        <f t="shared" si="0"/>
        <v>45598</v>
      </c>
      <c r="D12" s="10">
        <v>157</v>
      </c>
    </row>
    <row r="13" spans="3:4" x14ac:dyDescent="0.25">
      <c r="C13" s="16">
        <f t="shared" si="0"/>
        <v>45604</v>
      </c>
      <c r="D13" s="10">
        <v>56</v>
      </c>
    </row>
    <row r="14" spans="3:4" x14ac:dyDescent="0.25">
      <c r="C14" s="16">
        <f t="shared" si="0"/>
        <v>45610</v>
      </c>
      <c r="D14" s="10">
        <v>497</v>
      </c>
    </row>
    <row r="15" spans="3:4" x14ac:dyDescent="0.25">
      <c r="C15" s="16">
        <f t="shared" si="0"/>
        <v>45616</v>
      </c>
      <c r="D15" s="10">
        <v>471</v>
      </c>
    </row>
    <row r="16" spans="3:4" x14ac:dyDescent="0.25">
      <c r="C16" s="16">
        <f t="shared" si="0"/>
        <v>45622</v>
      </c>
      <c r="D16" s="10">
        <v>300</v>
      </c>
    </row>
    <row r="17" spans="3:4" x14ac:dyDescent="0.25">
      <c r="C17" s="16">
        <f t="shared" si="0"/>
        <v>45628</v>
      </c>
      <c r="D17" s="10">
        <v>339</v>
      </c>
    </row>
    <row r="18" spans="3:4" x14ac:dyDescent="0.25">
      <c r="C18" s="16">
        <f t="shared" si="0"/>
        <v>45634</v>
      </c>
      <c r="D18" s="10">
        <v>417</v>
      </c>
    </row>
    <row r="19" spans="3:4" x14ac:dyDescent="0.25">
      <c r="C19" s="16">
        <f t="shared" si="0"/>
        <v>45640</v>
      </c>
      <c r="D19" s="10">
        <v>482</v>
      </c>
    </row>
    <row r="20" spans="3:4" x14ac:dyDescent="0.25">
      <c r="C20" s="16">
        <f t="shared" si="0"/>
        <v>45646</v>
      </c>
      <c r="D20" s="10">
        <v>109</v>
      </c>
    </row>
    <row r="21" spans="3:4" x14ac:dyDescent="0.25">
      <c r="C21" s="16">
        <f t="shared" si="0"/>
        <v>45652</v>
      </c>
      <c r="D21" s="10">
        <v>399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E786-3022-4481-8BEA-A666D29DBD82}">
  <dimension ref="A1:R1"/>
  <sheetViews>
    <sheetView showGridLines="0" showRowColHeaders="0" tabSelected="1" zoomScale="95" zoomScaleNormal="95" workbookViewId="0"/>
  </sheetViews>
  <sheetFormatPr defaultColWidth="0" defaultRowHeight="12.5" x14ac:dyDescent="0.25"/>
  <cols>
    <col min="1" max="1" width="21.81640625" style="8" customWidth="1"/>
    <col min="2" max="18" width="8.7265625" style="9" customWidth="1"/>
    <col min="19" max="16384" width="8.7265625" hidden="1"/>
  </cols>
  <sheetData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Controler</vt:lpstr>
      <vt:lpstr>Caixinha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de Souza Faleiro</dc:creator>
  <cp:lastModifiedBy>Larissa de Souza Faleiro</cp:lastModifiedBy>
  <dcterms:created xsi:type="dcterms:W3CDTF">2025-01-13T00:42:20Z</dcterms:created>
  <dcterms:modified xsi:type="dcterms:W3CDTF">2025-01-13T02:17:53Z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a47ad8-907a-4afd-bc2a-6b2ee4f96f0c_Enabled">
    <vt:lpwstr>true</vt:lpwstr>
  </property>
  <property fmtid="{D5CDD505-2E9C-101B-9397-08002B2CF9AE}" pid="3" name="MSIP_Label_f1a47ad8-907a-4afd-bc2a-6b2ee4f96f0c_SetDate">
    <vt:lpwstr>2025-01-12T19:52:15Z</vt:lpwstr>
  </property>
  <property fmtid="{D5CDD505-2E9C-101B-9397-08002B2CF9AE}" pid="4" name="MSIP_Label_f1a47ad8-907a-4afd-bc2a-6b2ee4f96f0c_Method">
    <vt:lpwstr>Privileged</vt:lpwstr>
  </property>
  <property fmtid="{D5CDD505-2E9C-101B-9397-08002B2CF9AE}" pid="5" name="MSIP_Label_f1a47ad8-907a-4afd-bc2a-6b2ee4f96f0c_Name">
    <vt:lpwstr>#EXTERNO_CONFIDENCIAL</vt:lpwstr>
  </property>
  <property fmtid="{D5CDD505-2E9C-101B-9397-08002B2CF9AE}" pid="6" name="MSIP_Label_f1a47ad8-907a-4afd-bc2a-6b2ee4f96f0c_SiteId">
    <vt:lpwstr>ab9bba98-684a-43fb-add8-9c2bebede229</vt:lpwstr>
  </property>
  <property fmtid="{D5CDD505-2E9C-101B-9397-08002B2CF9AE}" pid="7" name="MSIP_Label_f1a47ad8-907a-4afd-bc2a-6b2ee4f96f0c_ActionId">
    <vt:lpwstr>9f0e35f0-5f9f-4a67-b7db-16d77ccb2ba2</vt:lpwstr>
  </property>
  <property fmtid="{D5CDD505-2E9C-101B-9397-08002B2CF9AE}" pid="8" name="MSIP_Label_f1a47ad8-907a-4afd-bc2a-6b2ee4f96f0c_ContentBits">
    <vt:lpwstr>3</vt:lpwstr>
  </property>
</Properties>
</file>